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9804" firstSheet="4" activeTab="6"/>
  </bookViews>
  <sheets>
    <sheet name="Inputs" sheetId="6" r:id="rId1"/>
    <sheet name="Historicals" sheetId="2" r:id="rId2"/>
    <sheet name="Forecast" sheetId="3" r:id="rId3"/>
    <sheet name="DCF" sheetId="4" r:id="rId4"/>
    <sheet name="Comps" sheetId="5" r:id="rId5"/>
    <sheet name="Output" sheetId="1" r:id="rId6"/>
    <sheet name="Valuation_Summary" sheetId="9" r:id="rId7"/>
    <sheet name="Sources" sheetId="7" r:id="rId8"/>
    <sheet name="Chart_data" sheetId="8" state="hidden" r:id="rId9"/>
  </sheets>
  <definedNames>
    <definedName name="_xlnm.Print_Area" localSheetId="6">Valuation_Summary!$A$1:$U$31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9" i="9" l="1"/>
  <c r="H9" i="9"/>
  <c r="G9" i="9"/>
  <c r="F9" i="9"/>
  <c r="I8" i="9"/>
  <c r="H8" i="9"/>
  <c r="G8" i="9"/>
  <c r="F8" i="9"/>
  <c r="I7" i="9"/>
  <c r="H7" i="9"/>
  <c r="G7" i="9"/>
  <c r="F7" i="9"/>
  <c r="B31" i="9"/>
  <c r="A31" i="9"/>
  <c r="B30" i="9"/>
  <c r="A30" i="9"/>
  <c r="B29" i="9"/>
  <c r="A29" i="9"/>
  <c r="B28" i="9"/>
  <c r="A28" i="9"/>
  <c r="C6" i="9"/>
  <c r="B9" i="9"/>
  <c r="B8" i="9"/>
  <c r="B7" i="9"/>
  <c r="B6" i="9"/>
  <c r="B6" i="1"/>
  <c r="C7" i="8"/>
  <c r="C12" i="8"/>
  <c r="C11" i="8"/>
  <c r="C10" i="8"/>
  <c r="C9" i="8"/>
  <c r="C8" i="8"/>
  <c r="B7" i="8"/>
  <c r="B6" i="8"/>
  <c r="B5" i="8"/>
  <c r="B4" i="8"/>
  <c r="B3" i="8"/>
  <c r="B25" i="8"/>
  <c r="B24" i="8"/>
  <c r="B23" i="8"/>
  <c r="B22" i="8"/>
  <c r="B21" i="8"/>
  <c r="B24" i="4"/>
  <c r="B29" i="4"/>
  <c r="B17" i="4"/>
  <c r="C34" i="1"/>
  <c r="C33" i="1"/>
  <c r="C32" i="1"/>
  <c r="B18" i="1"/>
  <c r="B17" i="1"/>
  <c r="B16" i="1"/>
  <c r="B15" i="1"/>
  <c r="C6" i="1"/>
  <c r="B28" i="5"/>
  <c r="B26" i="5"/>
  <c r="B25" i="5"/>
  <c r="C21" i="5"/>
  <c r="C20" i="5"/>
  <c r="C13" i="5"/>
  <c r="D13" i="5"/>
  <c r="E13" i="5"/>
  <c r="F13" i="5"/>
  <c r="B13" i="5"/>
  <c r="C12" i="5"/>
  <c r="D12" i="5"/>
  <c r="E12" i="5"/>
  <c r="F12" i="5"/>
  <c r="B7" i="5"/>
  <c r="B12" i="5" s="1"/>
  <c r="B22" i="1" s="1"/>
  <c r="B6" i="5"/>
  <c r="B19" i="4"/>
  <c r="B15" i="4"/>
  <c r="B14" i="4"/>
  <c r="B10" i="4"/>
  <c r="B14" i="1" s="1"/>
  <c r="B28" i="4"/>
  <c r="B31" i="4"/>
  <c r="B26" i="4"/>
  <c r="B25" i="4"/>
  <c r="B27" i="4"/>
  <c r="C12" i="3"/>
  <c r="D12" i="3"/>
  <c r="E12" i="3"/>
  <c r="F12" i="3"/>
  <c r="B12" i="3"/>
  <c r="C8" i="3"/>
  <c r="D8" i="3"/>
  <c r="E8" i="3"/>
  <c r="F8" i="3"/>
  <c r="B8" i="3"/>
  <c r="D5" i="3"/>
  <c r="E5" i="3"/>
  <c r="F5" i="3"/>
  <c r="C5" i="3"/>
  <c r="B5" i="3"/>
  <c r="B6" i="3" s="1"/>
  <c r="C21" i="2"/>
  <c r="D21" i="2"/>
  <c r="E21" i="2"/>
  <c r="F21" i="2"/>
  <c r="B21" i="2"/>
  <c r="C20" i="2"/>
  <c r="D20" i="2"/>
  <c r="E20" i="2"/>
  <c r="F20" i="2"/>
  <c r="B20" i="2"/>
  <c r="C19" i="2"/>
  <c r="D19" i="2"/>
  <c r="E19" i="2"/>
  <c r="F19" i="2"/>
  <c r="B19" i="2"/>
  <c r="C18" i="2"/>
  <c r="D18" i="2"/>
  <c r="E18" i="2"/>
  <c r="F18" i="2"/>
  <c r="B18" i="2"/>
  <c r="D17" i="2"/>
  <c r="E17" i="2"/>
  <c r="F17" i="2"/>
  <c r="C17" i="2"/>
  <c r="C7" i="9" l="1"/>
  <c r="C8" i="9"/>
  <c r="C9" i="9"/>
  <c r="B16" i="5"/>
  <c r="B26" i="1" s="1"/>
  <c r="B21" i="5"/>
  <c r="D21" i="5" s="1"/>
  <c r="B24" i="5" s="1"/>
  <c r="B27" i="5" s="1"/>
  <c r="B29" i="5" s="1"/>
  <c r="B9" i="1" s="1"/>
  <c r="B25" i="1"/>
  <c r="B27" i="1"/>
  <c r="C9" i="1"/>
  <c r="B15" i="5"/>
  <c r="B15" i="3"/>
  <c r="B14" i="3"/>
  <c r="B9" i="3"/>
  <c r="B32" i="4"/>
  <c r="B33" i="4" s="1"/>
  <c r="C6" i="3"/>
  <c r="B7" i="3"/>
  <c r="B10" i="3" s="1"/>
  <c r="B20" i="5" l="1"/>
  <c r="D20" i="5" s="1"/>
  <c r="E20" i="5" s="1"/>
  <c r="B8" i="1" s="1"/>
  <c r="C8" i="1" s="1"/>
  <c r="B23" i="1"/>
  <c r="B24" i="1" s="1"/>
  <c r="A40" i="4"/>
  <c r="B32" i="1" s="1"/>
  <c r="A38" i="4"/>
  <c r="B34" i="1" s="1"/>
  <c r="A39" i="4"/>
  <c r="B33" i="1" s="1"/>
  <c r="B13" i="3"/>
  <c r="B16" i="3" s="1"/>
  <c r="B5" i="4" s="1"/>
  <c r="B11" i="3"/>
  <c r="C15" i="3"/>
  <c r="C14" i="3"/>
  <c r="C9" i="3"/>
  <c r="B9" i="4"/>
  <c r="B13" i="1" s="1"/>
  <c r="C7" i="4"/>
  <c r="D7" i="4"/>
  <c r="E7" i="4"/>
  <c r="F7" i="4"/>
  <c r="B7" i="4"/>
  <c r="B8" i="4" s="1"/>
  <c r="D6" i="3"/>
  <c r="C7" i="3"/>
  <c r="C10" i="3" s="1"/>
  <c r="C13" i="3" l="1"/>
  <c r="C16" i="3" s="1"/>
  <c r="C5" i="4" s="1"/>
  <c r="C11" i="3"/>
  <c r="D15" i="3"/>
  <c r="D14" i="3"/>
  <c r="D9" i="3"/>
  <c r="C8" i="4"/>
  <c r="E6" i="3"/>
  <c r="D7" i="3"/>
  <c r="D10" i="3" s="1"/>
  <c r="D13" i="3" l="1"/>
  <c r="D16" i="3" s="1"/>
  <c r="D5" i="4" s="1"/>
  <c r="D11" i="3"/>
  <c r="E15" i="3"/>
  <c r="E14" i="3"/>
  <c r="E9" i="3"/>
  <c r="F6" i="3"/>
  <c r="E7" i="3"/>
  <c r="E10" i="3" s="1"/>
  <c r="D8" i="4" l="1"/>
  <c r="E13" i="3"/>
  <c r="E16" i="3" s="1"/>
  <c r="E5" i="4" s="1"/>
  <c r="E11" i="3"/>
  <c r="F7" i="3"/>
  <c r="F15" i="3"/>
  <c r="F14" i="3"/>
  <c r="F9" i="3"/>
  <c r="E8" i="4" l="1"/>
  <c r="F10" i="3"/>
  <c r="F13" i="3" l="1"/>
  <c r="F16" i="3" s="1"/>
  <c r="F5" i="4" s="1"/>
  <c r="F11" i="3"/>
  <c r="D40" i="4" l="1" a="1"/>
  <c r="D40" i="4" s="1"/>
  <c r="C40" i="4" a="1"/>
  <c r="C40" i="4" s="1"/>
  <c r="B40" i="4" a="1"/>
  <c r="B40" i="4" s="1"/>
  <c r="D32" i="1" s="1"/>
  <c r="E32" i="1" s="1"/>
  <c r="D39" i="4" a="1"/>
  <c r="D39" i="4" s="1"/>
  <c r="C39" i="4" a="1"/>
  <c r="C39" i="4" s="1"/>
  <c r="B39" i="4" a="1"/>
  <c r="B39" i="4" s="1"/>
  <c r="C38" i="4" a="1"/>
  <c r="C38" i="4" s="1"/>
  <c r="D38" i="4" a="1"/>
  <c r="D38" i="4" s="1"/>
  <c r="D34" i="1" s="1"/>
  <c r="E34" i="1" s="1"/>
  <c r="B38" i="4" a="1"/>
  <c r="B38" i="4" s="1"/>
  <c r="B11" i="4"/>
  <c r="B12" i="4" s="1"/>
  <c r="F8" i="4"/>
  <c r="B13" i="4" s="1"/>
  <c r="B16" i="4" s="1"/>
  <c r="B18" i="4" s="1"/>
  <c r="D33" i="1" l="1"/>
  <c r="E33" i="1" s="1"/>
  <c r="B20" i="4"/>
  <c r="B7" i="1"/>
  <c r="C7" i="1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<sst xmlns="http://schemas.openxmlformats.org/spreadsheetml/2006/main" count="267" uniqueCount="171">
  <si>
    <t>INFOSYS — STOCK VALUATION MODEL</t>
  </si>
  <si>
    <t>Units: ₹ crore unless otherwise stated</t>
  </si>
  <si>
    <t>Model Assumptions</t>
  </si>
  <si>
    <t>Assumption</t>
  </si>
  <si>
    <t>FY2027</t>
  </si>
  <si>
    <t>FY2028</t>
  </si>
  <si>
    <t>FY2029</t>
  </si>
  <si>
    <t>FY2030</t>
  </si>
  <si>
    <t>FY2031</t>
  </si>
  <si>
    <t>Revenue Growth</t>
  </si>
  <si>
    <t>EBITDA Margin</t>
  </si>
  <si>
    <t>D&amp;A / Revenue</t>
  </si>
  <si>
    <t>Tax Rate</t>
  </si>
  <si>
    <t>Capex / Revenue</t>
  </si>
  <si>
    <t>Change in NWC / Revenue</t>
  </si>
  <si>
    <t>Risk-Free Rate</t>
  </si>
  <si>
    <t>Beta</t>
  </si>
  <si>
    <t>Equity Risk Premium</t>
  </si>
  <si>
    <t>Cost of Debt</t>
  </si>
  <si>
    <t>Terminal Growth Rate</t>
  </si>
  <si>
    <t>Current Share Price</t>
  </si>
  <si>
    <t xml:space="preserve">Cash &amp; Investments </t>
  </si>
  <si>
    <t>Shares Outstanding (crore)</t>
  </si>
  <si>
    <t>INFOSYS —  HISTORICAL FINANCIALS</t>
  </si>
  <si>
    <t>Particulars</t>
  </si>
  <si>
    <t>FY2022</t>
  </si>
  <si>
    <t>FY2023</t>
  </si>
  <si>
    <t>FY2024</t>
  </si>
  <si>
    <t>FY2025</t>
  </si>
  <si>
    <t>FY2026</t>
  </si>
  <si>
    <t>Revenue</t>
  </si>
  <si>
    <t>EBITDA</t>
  </si>
  <si>
    <t>EBIT</t>
  </si>
  <si>
    <t>Net Income</t>
  </si>
  <si>
    <t>D&amp;A</t>
  </si>
  <si>
    <t>Capex</t>
  </si>
  <si>
    <t>Change in NWC</t>
  </si>
  <si>
    <t>Total Debt</t>
  </si>
  <si>
    <t>Cash</t>
  </si>
  <si>
    <t>Shares Outstanding(crore)</t>
  </si>
  <si>
    <t>Historical Ratios</t>
  </si>
  <si>
    <t>EBIT Margin</t>
  </si>
  <si>
    <t>INFOSYS —  FORECAST</t>
  </si>
  <si>
    <t>NOPAT</t>
  </si>
  <si>
    <t xml:space="preserve"> Capex</t>
  </si>
  <si>
    <t>FCFF</t>
  </si>
  <si>
    <t>INFOSYS —  DCF VALUATION</t>
  </si>
  <si>
    <t>Discount Period</t>
  </si>
  <si>
    <t>Discount Factor</t>
  </si>
  <si>
    <t>PV of FCFF</t>
  </si>
  <si>
    <t>WACC</t>
  </si>
  <si>
    <t>Terminal Value</t>
  </si>
  <si>
    <t>PV of Terminal Value</t>
  </si>
  <si>
    <t xml:space="preserve">Enterprise Value </t>
  </si>
  <si>
    <t>Debt</t>
  </si>
  <si>
    <t>Equity Value</t>
  </si>
  <si>
    <t>Intrinsic Value / Share</t>
  </si>
  <si>
    <t>Upside / (Downside)</t>
  </si>
  <si>
    <t>Cost of Equity</t>
  </si>
  <si>
    <t>Market Value of Equity</t>
  </si>
  <si>
    <t>Equity Weight</t>
  </si>
  <si>
    <t>Debt Weight</t>
  </si>
  <si>
    <t>DCF Sensitivity — Intrinsic Value / Share</t>
  </si>
  <si>
    <t>WACC \ Terminal Growth</t>
  </si>
  <si>
    <t>INFOSYS —  COMPARABLE COMPANIES ANALYSIS</t>
  </si>
  <si>
    <t>Valuation Date: 10-Sep-2026</t>
  </si>
  <si>
    <t>Company</t>
  </si>
  <si>
    <t>Infosys</t>
  </si>
  <si>
    <t>TCS</t>
  </si>
  <si>
    <t>HCLTech</t>
  </si>
  <si>
    <t>Wipro</t>
  </si>
  <si>
    <t>Tech Mahindra</t>
  </si>
  <si>
    <t>Share Price</t>
  </si>
  <si>
    <t>Market Capitalization</t>
  </si>
  <si>
    <t>Enterprise Value</t>
  </si>
  <si>
    <t>LTM Revenue</t>
  </si>
  <si>
    <t>LTM EBITDA</t>
  </si>
  <si>
    <t>LTM Net Income</t>
  </si>
  <si>
    <t>P/E</t>
  </si>
  <si>
    <t>EV/EBITDA</t>
  </si>
  <si>
    <t>Peer Median P/E</t>
  </si>
  <si>
    <t>Peer Median EV/EBITDA</t>
  </si>
  <si>
    <t>Relative Valuation — Implied Infosys Value</t>
  </si>
  <si>
    <t>Metric</t>
  </si>
  <si>
    <t>Peer Multiple</t>
  </si>
  <si>
    <t>Infosys Metric</t>
  </si>
  <si>
    <t>Implied Value</t>
  </si>
  <si>
    <t>Implied Price / Share</t>
  </si>
  <si>
    <t>EV/EBITDA Equity Value Bridge</t>
  </si>
  <si>
    <t>Implied Enterprise Value</t>
  </si>
  <si>
    <t>Cash &amp; Investments</t>
  </si>
  <si>
    <t>Implied Equity Value</t>
  </si>
  <si>
    <t>Shares Outstanding</t>
  </si>
  <si>
    <t>INFOSYS —  VALUATION SUMMARY</t>
  </si>
  <si>
    <t>Valuation Snapshot</t>
  </si>
  <si>
    <t>Analyst Takeaways</t>
  </si>
  <si>
    <t>Valuation View</t>
  </si>
  <si>
    <t>Base-case DCF indicates moderate upside, with an intrinsic value of approximately ₹1,173/share versus the current price of ₹1,036.50.</t>
  </si>
  <si>
    <t>DCF Intrinsic Value / Share</t>
  </si>
  <si>
    <t>Relative Valuation</t>
  </si>
  <si>
    <t>Infosys trades at a discount to peers on both P/E and EV/EBITDA, with the discount more pronounced on P/E.</t>
  </si>
  <si>
    <t>P/E Implied Value / Share</t>
  </si>
  <si>
    <t>Key Sensitivity</t>
  </si>
  <si>
    <t>EV/EBITDA Implied Value / Share</t>
  </si>
  <si>
    <t>Key Risk</t>
  </si>
  <si>
    <t>The valuation depends on assumptions around revenue growth, operating margins, capital expenditure, working capital investment and long-term growth.</t>
  </si>
  <si>
    <t>Key DCF Assumptions</t>
  </si>
  <si>
    <t>FY2027 Revenue Growth</t>
  </si>
  <si>
    <t>FY2031 Revenue Growth</t>
  </si>
  <si>
    <t>Infosys P/E</t>
  </si>
  <si>
    <t>P/E Premium / (Discount)</t>
  </si>
  <si>
    <t>Infosys EV/EBITDA</t>
  </si>
  <si>
    <t>EV/EBITDA Premium / (Discount)</t>
  </si>
  <si>
    <t>DCF Sensitivity — Key Scenarios</t>
  </si>
  <si>
    <t>Scenario</t>
  </si>
  <si>
    <t>Terminal Growth</t>
  </si>
  <si>
    <t>Implied Value / Share</t>
  </si>
  <si>
    <t>Conservative Case</t>
  </si>
  <si>
    <t>Base Case</t>
  </si>
  <si>
    <t>Optimistic Case</t>
  </si>
  <si>
    <t>INFOSYS —  INVESTMENT SUMMARY</t>
  </si>
  <si>
    <t>Units: ₹ crore unless otherwise stated | Share price and implied valuation in ₹/share</t>
  </si>
  <si>
    <t>INFOSYS —  SOURCES &amp; METHODOLOGY</t>
  </si>
  <si>
    <t>Item</t>
  </si>
  <si>
    <t>Source</t>
  </si>
  <si>
    <t>Date / Period</t>
  </si>
  <si>
    <t>Used For</t>
  </si>
  <si>
    <t>Infosys Annual Report</t>
  </si>
  <si>
    <t>Infosys Investor Relations</t>
  </si>
  <si>
    <t>Historical financials, cash &amp; investments, debt</t>
  </si>
  <si>
    <t>Infosys Q1 FY27 Results</t>
  </si>
  <si>
    <t>Q1 FY2027</t>
  </si>
  <si>
    <t>LTM financials, latest share count, guidance</t>
  </si>
  <si>
    <t>India 10-Year G-Sec Yield</t>
  </si>
  <si>
    <t>Market data source</t>
  </si>
  <si>
    <t>Risk-free rate</t>
  </si>
  <si>
    <t>Infosys Beta</t>
  </si>
  <si>
    <t>Economic Times</t>
  </si>
  <si>
    <t>CAPM</t>
  </si>
  <si>
    <t>India Equity Risk Premium</t>
  </si>
  <si>
    <t>Aswath Damodaran</t>
  </si>
  <si>
    <t>Jan-2026 dataset</t>
  </si>
  <si>
    <t>Equity risk premium</t>
  </si>
  <si>
    <t>Peer Market Data</t>
  </si>
  <si>
    <t>Market-data provider</t>
  </si>
  <si>
    <t>Share price, market cap, enterprise value</t>
  </si>
  <si>
    <t>Peer LTM Financials</t>
  </si>
  <si>
    <t>Market-data provider / company filings</t>
  </si>
  <si>
    <t>Latest available</t>
  </si>
  <si>
    <t>Revenue, EBITDA, net income</t>
  </si>
  <si>
    <t>Methodology &amp; Key Notes</t>
  </si>
  <si>
    <t>Note</t>
  </si>
  <si>
    <t>DCF</t>
  </si>
  <si>
    <t>FCFF discounted using WACC; terminal value calculated using the Gordon Growth Method.</t>
  </si>
  <si>
    <t>Forecast</t>
  </si>
  <si>
    <t>FY2027 revenue growth uses the upper end of Infosys' revised 1.5%–3.0% constant-currency guidance; FY2028–FY2031 are analyst assumptions.</t>
  </si>
  <si>
    <t>4.00% normalized long-term growth assumption; not company guidance.</t>
  </si>
  <si>
    <t>CAPM-based cost of equity; Infosys has no meaningful debt, resulting in a 100% equity weight.</t>
  </si>
  <si>
    <t>Comps</t>
  </si>
  <si>
    <t>Peer median excludes Infosys.</t>
  </si>
  <si>
    <t>Peer P/E applied to Infosys LTM net income to derive implied equity value.</t>
  </si>
  <si>
    <t>Peer EV/EBITDA applied to Infosys LTM EBITDA; implied EV bridged to equity value using cash &amp; investments and debt.</t>
  </si>
  <si>
    <t>Valuation Date</t>
  </si>
  <si>
    <t>10-Sep-2026.</t>
  </si>
  <si>
    <t>Units</t>
  </si>
  <si>
    <t>₹ crore unless otherwise stated; share price in ₹/share; shares in crore.</t>
  </si>
  <si>
    <t>Year</t>
  </si>
  <si>
    <t>Historical Revenue</t>
  </si>
  <si>
    <t>Forecast Revenue</t>
  </si>
  <si>
    <t>DCF SENSITIVITY — Key Scenarios</t>
  </si>
  <si>
    <t>DCF valuation is highly sensitive to WACC and terminal growth, with the tested range spanning approximately ₹957–₹1,563/share.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</si>
</sst>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_ &quot;₹&quot;\ * #,##0.00_ ;_ &quot;₹&quot;\ * \-#,##0.00_ ;_ &quot;₹&quot;\ * &quot;-&quot;??_ ;_ @_ "/>
    <numFmt numFmtId="165" formatCode="_ &quot;₹&quot;\ * #,##0_ ;_ &quot;₹&quot;\ * \-#,##0_ ;_ &quot;₹&quot;\ * &quot;-&quot;??_ ;_ @_ "/>
    <numFmt numFmtId="166" formatCode="0.000"/>
    <numFmt numFmtId="167" formatCode="_ &quot;₹&quot;\ * #,##0_ ;_ &quot;₹&quot;\ * \-#,##0_ ;_ &quot;₹&quot;\ * &quot;-&quot;???_ ;_ @_ "/>
    <numFmt numFmtId="168" formatCode="0.0"/>
    <numFmt numFmtId="169" formatCode="_ &quot;₹&quot;\ * #,##0.0_ ;_ &quot;₹&quot;\ * \-#,##0.0_ ;_ &quot;₹&quot;\ * &quot;-&quot;??_ ;_ @_ "/>
    <numFmt numFmtId="170" formatCode="0.0\x"/>
    <numFmt numFmtId="171" formatCode="_ &quot;₹&quot;\ * #,##0.0_ ;_ &quot;₹&quot;\ * \-#,##0.0_ ;_ &quot;₹&quot;\ * &quot;-&quot;?_ ;_ @_ "/>
    <numFmt numFmtId="172" formatCode="_ &quot;₹&quot;\ * #,##0.000000_ ;_ &quot;₹&quot;\ * \-#,##0.000000_ ;_ &quot;₹&quot;\ * &quot;-&quot;??????_ ;_ @_ "/>
    <numFmt numFmtId="173" formatCode="_ &quot;₹&quot;\ * #,##0_ ;_ &quot;₹&quot;\ * \-#,##0_ ;_ &quot;₹&quot;\ * &quot;-&quot;?_ ;_ @_ 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242424"/>
      <name val="Aptos Narrow"/>
      <charset val="1"/>
    </font>
    <font>
      <sz val="12"/>
      <color theme="1"/>
      <name val="Calibri"/>
      <family val="2"/>
      <scheme val="minor"/>
    </font>
    <font>
      <sz val="11.5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4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13"/>
      <color theme="4" tint="-0.249977111117893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color theme="1" tint="4.9989318521683403E-2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3" fontId="0" fillId="0" borderId="0" xfId="0" applyNumberFormat="1"/>
    <xf numFmtId="10" fontId="0" fillId="0" borderId="0" xfId="0" applyNumberFormat="1"/>
    <xf numFmtId="0" fontId="3" fillId="0" borderId="0" xfId="0" applyFont="1"/>
    <xf numFmtId="10" fontId="2" fillId="0" borderId="0" xfId="0" applyNumberFormat="1" applyFont="1"/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166" fontId="0" fillId="0" borderId="0" xfId="0" applyNumberFormat="1"/>
    <xf numFmtId="167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0" xfId="0" applyFont="1"/>
    <xf numFmtId="10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165" fontId="1" fillId="0" borderId="0" xfId="0" applyNumberFormat="1" applyFont="1" applyAlignment="1">
      <alignment horizontal="left"/>
    </xf>
    <xf numFmtId="0" fontId="0" fillId="0" borderId="0" xfId="0" applyFill="1" applyAlignment="1"/>
    <xf numFmtId="0" fontId="4" fillId="0" borderId="0" xfId="0" applyFont="1"/>
    <xf numFmtId="0" fontId="0" fillId="0" borderId="0" xfId="0" applyAlignment="1"/>
    <xf numFmtId="0" fontId="4" fillId="0" borderId="0" xfId="0" applyFont="1" applyFill="1" applyAlignment="1"/>
    <xf numFmtId="0" fontId="1" fillId="0" borderId="0" xfId="0" applyFont="1"/>
    <xf numFmtId="0" fontId="0" fillId="2" borderId="0" xfId="0" applyFill="1"/>
    <xf numFmtId="0" fontId="5" fillId="2" borderId="0" xfId="0" applyFont="1" applyFill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0" fontId="0" fillId="0" borderId="0" xfId="0" applyAlignment="1">
      <alignment vertical="center"/>
    </xf>
    <xf numFmtId="171" fontId="0" fillId="0" borderId="0" xfId="0" applyNumberFormat="1"/>
    <xf numFmtId="172" fontId="0" fillId="0" borderId="0" xfId="0" applyNumberFormat="1"/>
    <xf numFmtId="0" fontId="0" fillId="2" borderId="0" xfId="0" applyFill="1" applyAlignment="1">
      <alignment vertical="center" wrapText="1"/>
    </xf>
    <xf numFmtId="173" fontId="0" fillId="0" borderId="0" xfId="0" applyNumberFormat="1"/>
    <xf numFmtId="164" fontId="1" fillId="0" borderId="0" xfId="0" applyNumberFormat="1" applyFont="1"/>
    <xf numFmtId="0" fontId="5" fillId="0" borderId="0" xfId="0" applyFont="1"/>
    <xf numFmtId="10" fontId="1" fillId="0" borderId="0" xfId="0" applyNumberFormat="1" applyFont="1"/>
    <xf numFmtId="165" fontId="1" fillId="0" borderId="0" xfId="0" applyNumberFormat="1" applyFont="1"/>
    <xf numFmtId="9" fontId="1" fillId="0" borderId="0" xfId="0" applyNumberFormat="1" applyFont="1"/>
    <xf numFmtId="165" fontId="6" fillId="0" borderId="0" xfId="0" applyNumberFormat="1" applyFont="1" applyAlignment="1">
      <alignment horizontal="right"/>
    </xf>
    <xf numFmtId="10" fontId="6" fillId="0" borderId="0" xfId="0" applyNumberFormat="1" applyFont="1" applyAlignment="1">
      <alignment horizontal="right"/>
    </xf>
    <xf numFmtId="9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4" fillId="0" borderId="0" xfId="0" applyFont="1" applyFill="1" applyAlignment="1">
      <alignment horizontal="left"/>
    </xf>
    <xf numFmtId="0" fontId="0" fillId="0" borderId="0" xfId="0" applyFill="1"/>
    <xf numFmtId="0" fontId="4" fillId="0" borderId="0" xfId="0" applyFont="1" applyFill="1"/>
    <xf numFmtId="0" fontId="8" fillId="4" borderId="0" xfId="0" applyFont="1" applyFill="1" applyAlignment="1"/>
    <xf numFmtId="10" fontId="9" fillId="0" borderId="0" xfId="0" applyNumberFormat="1" applyFont="1" applyAlignment="1">
      <alignment horizontal="right"/>
    </xf>
    <xf numFmtId="0" fontId="10" fillId="2" borderId="0" xfId="0" applyFont="1" applyFill="1"/>
    <xf numFmtId="0" fontId="11" fillId="2" borderId="0" xfId="0" applyFont="1" applyFill="1" applyAlignment="1">
      <alignment horizontal="center"/>
    </xf>
    <xf numFmtId="0" fontId="8" fillId="0" borderId="0" xfId="0" applyFont="1" applyFill="1" applyAlignment="1"/>
    <xf numFmtId="0" fontId="12" fillId="0" borderId="0" xfId="0" applyFont="1"/>
    <xf numFmtId="0" fontId="13" fillId="0" borderId="0" xfId="0" applyFont="1"/>
    <xf numFmtId="0" fontId="7" fillId="0" borderId="0" xfId="0" applyFont="1" applyFill="1" applyAlignment="1"/>
    <xf numFmtId="0" fontId="0" fillId="5" borderId="0" xfId="0" applyFill="1" applyAlignment="1">
      <alignment vertical="center" wrapText="1"/>
    </xf>
    <xf numFmtId="0" fontId="0" fillId="5" borderId="0" xfId="0" applyFill="1" applyAlignment="1">
      <alignment vertical="center"/>
    </xf>
    <xf numFmtId="15" fontId="0" fillId="0" borderId="0" xfId="0" applyNumberFormat="1" applyAlignment="1">
      <alignment horizontal="left"/>
    </xf>
    <xf numFmtId="0" fontId="4" fillId="2" borderId="0" xfId="0" applyFont="1" applyFill="1"/>
    <xf numFmtId="3" fontId="0" fillId="0" borderId="0" xfId="0" quotePrefix="1" applyNumberFormat="1"/>
    <xf numFmtId="0" fontId="4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/>
    <xf numFmtId="10" fontId="0" fillId="0" borderId="1" xfId="0" applyNumberFormat="1" applyBorder="1"/>
    <xf numFmtId="9" fontId="0" fillId="0" borderId="1" xfId="0" applyNumberFormat="1" applyBorder="1"/>
    <xf numFmtId="165" fontId="0" fillId="0" borderId="1" xfId="0" applyNumberFormat="1" applyBorder="1"/>
    <xf numFmtId="0" fontId="1" fillId="0" borderId="1" xfId="0" applyFont="1" applyBorder="1"/>
    <xf numFmtId="10" fontId="1" fillId="0" borderId="1" xfId="0" applyNumberFormat="1" applyFont="1" applyBorder="1"/>
    <xf numFmtId="165" fontId="1" fillId="0" borderId="1" xfId="0" applyNumberFormat="1" applyFont="1" applyBorder="1"/>
    <xf numFmtId="9" fontId="1" fillId="0" borderId="1" xfId="0" applyNumberFormat="1" applyFont="1" applyBorder="1"/>
    <xf numFmtId="0" fontId="7" fillId="3" borderId="0" xfId="0" applyFont="1" applyFill="1" applyAlignment="1">
      <alignment horizontal="center"/>
    </xf>
    <xf numFmtId="0" fontId="8" fillId="4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4" fillId="0" borderId="0" xfId="0" applyFont="1" applyAlignment="1">
      <alignment horizontal="left"/>
    </xf>
    <xf numFmtId="0" fontId="5" fillId="0" borderId="0" xfId="0" applyFont="1" applyFill="1" applyAlignment="1">
      <alignment horizontal="center"/>
    </xf>
    <xf numFmtId="0" fontId="5" fillId="2" borderId="0" xfId="0" applyFont="1" applyFill="1" applyAlignment="1">
      <alignment horizontal="left"/>
    </xf>
    <xf numFmtId="0" fontId="0" fillId="0" borderId="1" xfId="0" applyFont="1" applyFill="1" applyBorder="1" applyAlignment="1">
      <alignment horizontal="left"/>
    </xf>
    <xf numFmtId="0" fontId="0" fillId="0" borderId="1" xfId="0" applyFont="1" applyFill="1" applyBorder="1"/>
    <xf numFmtId="0" fontId="0" fillId="0" borderId="1" xfId="0" applyFont="1" applyBorder="1"/>
    <xf numFmtId="0" fontId="0" fillId="0" borderId="2" xfId="0" applyBorder="1"/>
    <xf numFmtId="164" fontId="0" fillId="0" borderId="2" xfId="0" applyNumberFormat="1" applyBorder="1"/>
    <xf numFmtId="10" fontId="0" fillId="0" borderId="2" xfId="0" applyNumberFormat="1" applyBorder="1"/>
    <xf numFmtId="164" fontId="1" fillId="0" borderId="2" xfId="0" applyNumberFormat="1" applyFont="1" applyBorder="1"/>
    <xf numFmtId="10" fontId="1" fillId="0" borderId="2" xfId="0" applyNumberFormat="1" applyFont="1" applyBorder="1"/>
    <xf numFmtId="0" fontId="1" fillId="0" borderId="2" xfId="0" applyFont="1" applyBorder="1"/>
    <xf numFmtId="0" fontId="0" fillId="0" borderId="2" xfId="0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— Historical vs Forecast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Chart_data!$B$2</c:f>
              <c:strCache>
                <c:ptCount val="1"/>
                <c:pt idx="0">
                  <c:v>Historical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Chart_data!$A$3:$A$12</c:f>
              <c:strCache>
                <c:ptCount val="10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  <c:pt idx="3">
                  <c:v>FY2025</c:v>
                </c:pt>
                <c:pt idx="4">
                  <c:v>FY2026</c:v>
                </c:pt>
                <c:pt idx="5">
                  <c:v>FY2027</c:v>
                </c:pt>
                <c:pt idx="6">
                  <c:v>FY2028</c:v>
                </c:pt>
                <c:pt idx="7">
                  <c:v>FY2029</c:v>
                </c:pt>
                <c:pt idx="8">
                  <c:v>FY2030</c:v>
                </c:pt>
                <c:pt idx="9">
                  <c:v>FY2031</c:v>
                </c:pt>
              </c:strCache>
            </c:strRef>
          </c:cat>
          <c:val>
            <c:numRef>
              <c:f>Chart_data!$B$3:$B$12</c:f>
              <c:numCache>
                <c:formatCode>#,##0</c:formatCode>
                <c:ptCount val="10"/>
                <c:pt idx="0">
                  <c:v>121641</c:v>
                </c:pt>
                <c:pt idx="1">
                  <c:v>146767</c:v>
                </c:pt>
                <c:pt idx="2">
                  <c:v>153670</c:v>
                </c:pt>
                <c:pt idx="3">
                  <c:v>162990</c:v>
                </c:pt>
                <c:pt idx="4">
                  <c:v>178650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32-419E-A1DC-AEB2B4519B7C}"/>
            </c:ext>
          </c:extLst>
        </c:ser>
        <c:ser>
          <c:idx val="1"/>
          <c:order val="1"/>
          <c:tx>
            <c:strRef>
              <c:f>Chart_data!$C$2</c:f>
              <c:strCache>
                <c:ptCount val="1"/>
                <c:pt idx="0">
                  <c:v>Forecast 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Chart_data!$A$3:$A$12</c:f>
              <c:strCache>
                <c:ptCount val="10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  <c:pt idx="3">
                  <c:v>FY2025</c:v>
                </c:pt>
                <c:pt idx="4">
                  <c:v>FY2026</c:v>
                </c:pt>
                <c:pt idx="5">
                  <c:v>FY2027</c:v>
                </c:pt>
                <c:pt idx="6">
                  <c:v>FY2028</c:v>
                </c:pt>
                <c:pt idx="7">
                  <c:v>FY2029</c:v>
                </c:pt>
                <c:pt idx="8">
                  <c:v>FY2030</c:v>
                </c:pt>
                <c:pt idx="9">
                  <c:v>FY2031</c:v>
                </c:pt>
              </c:strCache>
            </c:strRef>
          </c:cat>
          <c:val>
            <c:numRef>
              <c:f>Chart_data!$C$3:$C$12</c:f>
              <c:numCache>
                <c:formatCode>General</c:formatCode>
                <c:ptCount val="10"/>
                <c:pt idx="4" formatCode="#,##0">
                  <c:v>178650</c:v>
                </c:pt>
                <c:pt idx="5">
                  <c:v>184009.5</c:v>
                </c:pt>
                <c:pt idx="6">
                  <c:v>193209.97500000001</c:v>
                </c:pt>
                <c:pt idx="7">
                  <c:v>204802.57350000003</c:v>
                </c:pt>
                <c:pt idx="8">
                  <c:v>217090.72791000005</c:v>
                </c:pt>
                <c:pt idx="9">
                  <c:v>230116.17158460006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32-419E-A1DC-AEB2B4519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4672648"/>
        <c:axId val="795765256"/>
      </c:lineChart>
      <c:catAx>
        <c:axId val="794672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65256"/>
        <c:crosses val="autoZero"/>
        <c:auto val="1"/>
        <c:lblAlgn val="ctr"/>
        <c:lblOffset val="100"/>
        <c:noMultiLvlLbl val="0"/>
      </c:catAx>
      <c:valAx>
        <c:axId val="795765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672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FCFF — Forecast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Chart_data!$B$20</c:f>
              <c:strCache>
                <c:ptCount val="1"/>
                <c:pt idx="0">
                  <c:v>FCFF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Chart_data!$A$21:$A$25</c:f>
              <c:strCache>
                <c:ptCount val="5"/>
                <c:pt idx="0">
                  <c:v>FY2027</c:v>
                </c:pt>
                <c:pt idx="1">
                  <c:v>FY2028</c:v>
                </c:pt>
                <c:pt idx="2">
                  <c:v>FY2029</c:v>
                </c:pt>
                <c:pt idx="3">
                  <c:v>FY2030</c:v>
                </c:pt>
                <c:pt idx="4">
                  <c:v>FY2031</c:v>
                </c:pt>
              </c:strCache>
            </c:strRef>
          </c:cat>
          <c:val>
            <c:numRef>
              <c:f>Chart_data!$B$21:$B$25</c:f>
              <c:numCache>
                <c:formatCode>_ "₹"\ * #,##0_ ;_ "₹"\ * \-#,##0_ ;_ "₹"\ * "-"??_ ;_ @_ </c:formatCode>
                <c:ptCount val="5"/>
                <c:pt idx="0">
                  <c:v>28176.454687499994</c:v>
                </c:pt>
                <c:pt idx="1">
                  <c:v>29585.277421874998</c:v>
                </c:pt>
                <c:pt idx="2">
                  <c:v>31360.394067187506</c:v>
                </c:pt>
                <c:pt idx="3">
                  <c:v>33242.017711218752</c:v>
                </c:pt>
                <c:pt idx="4">
                  <c:v>35236.53877389188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6C-4396-98D2-23F47DA6D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2560264"/>
        <c:axId val="663835144"/>
      </c:barChart>
      <c:catAx>
        <c:axId val="662560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35144"/>
        <c:crosses val="autoZero"/>
        <c:auto val="1"/>
        <c:lblAlgn val="ctr"/>
        <c:lblOffset val="100"/>
        <c:noMultiLvlLbl val="0"/>
      </c:catAx>
      <c:valAx>
        <c:axId val="663835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₹&quot;\ * #,##0_ ;_ &quot;₹&quot;\ * \-#,##0_ ;_ &quot;₹&quot;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560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Chart_data!$B$20</c:f>
              <c:strCache>
                <c:ptCount val="1"/>
                <c:pt idx="0">
                  <c:v>FCFF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Chart_data!$A$21:$A$25</c:f>
              <c:strCache>
                <c:ptCount val="5"/>
                <c:pt idx="0">
                  <c:v>FY2027</c:v>
                </c:pt>
                <c:pt idx="1">
                  <c:v>FY2028</c:v>
                </c:pt>
                <c:pt idx="2">
                  <c:v>FY2029</c:v>
                </c:pt>
                <c:pt idx="3">
                  <c:v>FY2030</c:v>
                </c:pt>
                <c:pt idx="4">
                  <c:v>FY2031</c:v>
                </c:pt>
              </c:strCache>
            </c:strRef>
          </c:cat>
          <c:val>
            <c:numRef>
              <c:f>Chart_data!$B$21:$B$25</c:f>
              <c:numCache>
                <c:formatCode>_ "₹"\ * #,##0_ ;_ "₹"\ * \-#,##0_ ;_ "₹"\ * "-"??_ ;_ @_ </c:formatCode>
                <c:ptCount val="5"/>
                <c:pt idx="0">
                  <c:v>28176.454687499994</c:v>
                </c:pt>
                <c:pt idx="1">
                  <c:v>29585.277421874998</c:v>
                </c:pt>
                <c:pt idx="2">
                  <c:v>31360.394067187506</c:v>
                </c:pt>
                <c:pt idx="3">
                  <c:v>33242.017711218752</c:v>
                </c:pt>
                <c:pt idx="4">
                  <c:v>35236.53877389188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D2-4F3E-8306-ABECE5E8D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2560264"/>
        <c:axId val="663835144"/>
      </c:barChart>
      <c:catAx>
        <c:axId val="662560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35144"/>
        <c:crosses val="autoZero"/>
        <c:auto val="1"/>
        <c:lblAlgn val="ctr"/>
        <c:lblOffset val="100"/>
        <c:noMultiLvlLbl val="0"/>
      </c:catAx>
      <c:valAx>
        <c:axId val="663835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₹&quot;\ * #,##0_ ;_ &quot;₹&quot;\ * \-#,##0_ ;_ &quot;₹&quot;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560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— Historical vs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Chart_data!$B$2</c:f>
              <c:strCache>
                <c:ptCount val="1"/>
                <c:pt idx="0">
                  <c:v>Historical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Chart_data!$A$3:$A$12</c:f>
              <c:strCache>
                <c:ptCount val="10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  <c:pt idx="3">
                  <c:v>FY2025</c:v>
                </c:pt>
                <c:pt idx="4">
                  <c:v>FY2026</c:v>
                </c:pt>
                <c:pt idx="5">
                  <c:v>FY2027</c:v>
                </c:pt>
                <c:pt idx="6">
                  <c:v>FY2028</c:v>
                </c:pt>
                <c:pt idx="7">
                  <c:v>FY2029</c:v>
                </c:pt>
                <c:pt idx="8">
                  <c:v>FY2030</c:v>
                </c:pt>
                <c:pt idx="9">
                  <c:v>FY2031</c:v>
                </c:pt>
              </c:strCache>
            </c:strRef>
          </c:cat>
          <c:val>
            <c:numRef>
              <c:f>Chart_data!$B$3:$B$12</c:f>
              <c:numCache>
                <c:formatCode>#,##0</c:formatCode>
                <c:ptCount val="10"/>
                <c:pt idx="0">
                  <c:v>121641</c:v>
                </c:pt>
                <c:pt idx="1">
                  <c:v>146767</c:v>
                </c:pt>
                <c:pt idx="2">
                  <c:v>153670</c:v>
                </c:pt>
                <c:pt idx="3">
                  <c:v>162990</c:v>
                </c:pt>
                <c:pt idx="4">
                  <c:v>178650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DF-4175-981A-B4E2A25267CF}"/>
            </c:ext>
          </c:extLst>
        </c:ser>
        <c:ser>
          <c:idx val="1"/>
          <c:order val="1"/>
          <c:tx>
            <c:strRef>
              <c:f>Chart_data!$C$2</c:f>
              <c:strCache>
                <c:ptCount val="1"/>
                <c:pt idx="0">
                  <c:v>Forecast 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Chart_data!$A$3:$A$12</c:f>
              <c:strCache>
                <c:ptCount val="10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  <c:pt idx="3">
                  <c:v>FY2025</c:v>
                </c:pt>
                <c:pt idx="4">
                  <c:v>FY2026</c:v>
                </c:pt>
                <c:pt idx="5">
                  <c:v>FY2027</c:v>
                </c:pt>
                <c:pt idx="6">
                  <c:v>FY2028</c:v>
                </c:pt>
                <c:pt idx="7">
                  <c:v>FY2029</c:v>
                </c:pt>
                <c:pt idx="8">
                  <c:v>FY2030</c:v>
                </c:pt>
                <c:pt idx="9">
                  <c:v>FY2031</c:v>
                </c:pt>
              </c:strCache>
            </c:strRef>
          </c:cat>
          <c:val>
            <c:numRef>
              <c:f>Chart_data!$C$3:$C$12</c:f>
              <c:numCache>
                <c:formatCode>General</c:formatCode>
                <c:ptCount val="10"/>
                <c:pt idx="4" formatCode="#,##0">
                  <c:v>178650</c:v>
                </c:pt>
                <c:pt idx="5">
                  <c:v>184009.5</c:v>
                </c:pt>
                <c:pt idx="6">
                  <c:v>193209.97500000001</c:v>
                </c:pt>
                <c:pt idx="7">
                  <c:v>204802.57350000003</c:v>
                </c:pt>
                <c:pt idx="8">
                  <c:v>217090.72791000005</c:v>
                </c:pt>
                <c:pt idx="9">
                  <c:v>230116.17158460006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DF-4175-981A-B4E2A2526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4672648"/>
        <c:axId val="795765256"/>
      </c:lineChart>
      <c:catAx>
        <c:axId val="794672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65256"/>
        <c:crosses val="autoZero"/>
        <c:auto val="1"/>
        <c:lblAlgn val="ctr"/>
        <c:lblOffset val="100"/>
        <c:noMultiLvlLbl val="0"/>
      </c:catAx>
      <c:valAx>
        <c:axId val="795765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672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180975</xdr:rowOff>
    </xdr:from>
    <xdr:to>
      <xdr:col>3</xdr:col>
      <xdr:colOff>600075</xdr:colOff>
      <xdr:row>24</xdr:row>
      <xdr:rowOff>9525</xdr:rowOff>
    </xdr:to>
    <xdr:graphicFrame macro="">
      <xdr:nvGraphicFramePr>
        <xdr:cNvPr id="2" name="Chart 10">
          <a:extLst>
            <a:ext uri="{FF2B5EF4-FFF2-40B4-BE49-F238E27FC236}">
              <a16:creationId xmlns:a16="http://schemas.microsoft.com/office/drawing/2014/main" id="{FA96FE9A-478D-49F1-8C13-885C7F4E14BF}"/>
            </a:ext>
            <a:ext uri="{147F2762-F138-4A5C-976F-8EAC2B608ADB}">
              <a16:predDERef xmlns:a16="http://schemas.microsoft.com/office/drawing/2014/main" pred="{618CA465-33AB-43C6-81D5-300856CC45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</xdr:colOff>
      <xdr:row>9</xdr:row>
      <xdr:rowOff>160021</xdr:rowOff>
    </xdr:from>
    <xdr:to>
      <xdr:col>7</xdr:col>
      <xdr:colOff>586741</xdr:colOff>
      <xdr:row>23</xdr:row>
      <xdr:rowOff>167641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9A40236E-CF87-457A-9705-03A612D0D030}"/>
            </a:ext>
            <a:ext uri="{147F2762-F138-4A5C-976F-8EAC2B608ADB}">
              <a16:predDERef xmlns:a16="http://schemas.microsoft.com/office/drawing/2014/main" pred="{FA96FE9A-478D-49F1-8C13-885C7F4E1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18</xdr:row>
      <xdr:rowOff>180975</xdr:rowOff>
    </xdr:from>
    <xdr:to>
      <xdr:col>10</xdr:col>
      <xdr:colOff>295275</xdr:colOff>
      <xdr:row>33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9D59159-59BB-45F1-53E6-CFC5E6AD6145}"/>
            </a:ext>
            <a:ext uri="{147F2762-F138-4A5C-976F-8EAC2B608ADB}">
              <a16:predDERef xmlns:a16="http://schemas.microsoft.com/office/drawing/2014/main" pred="{06A93105-E1F8-1810-065C-38830411DF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438150</xdr:colOff>
      <xdr:row>2</xdr:row>
      <xdr:rowOff>95250</xdr:rowOff>
    </xdr:from>
    <xdr:to>
      <xdr:col>14</xdr:col>
      <xdr:colOff>133350</xdr:colOff>
      <xdr:row>16</xdr:row>
      <xdr:rowOff>171450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957B6C8-8106-BAB2-B92F-42FAA8AB4081}"/>
            </a:ext>
            <a:ext uri="{147F2762-F138-4A5C-976F-8EAC2B608ADB}">
              <a16:predDERef xmlns:a16="http://schemas.microsoft.com/office/drawing/2014/main" pred="{79D59159-59BB-45F1-53E6-CFC5E6AD61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"/>
  <sheetViews>
    <sheetView workbookViewId="0">
      <selection activeCell="K22" sqref="K22"/>
    </sheetView>
  </sheetViews>
  <sheetFormatPr defaultRowHeight="14.4"/>
  <cols>
    <col min="1" max="1" width="36" customWidth="1"/>
    <col min="2" max="2" width="12.44140625" bestFit="1" customWidth="1"/>
  </cols>
  <sheetData>
    <row r="1" spans="1:15" ht="18">
      <c r="A1" s="68" t="s">
        <v>0</v>
      </c>
      <c r="B1" s="68"/>
      <c r="C1" s="68"/>
      <c r="D1" s="68"/>
      <c r="E1" s="68"/>
      <c r="F1" s="68"/>
    </row>
    <row r="2" spans="1:15">
      <c r="A2" s="45" t="s">
        <v>1</v>
      </c>
      <c r="B2" s="18"/>
      <c r="C2" s="18"/>
      <c r="D2" s="18"/>
    </row>
    <row r="3" spans="1:15" s="43" customFormat="1">
      <c r="A3" s="49"/>
      <c r="B3" s="18"/>
      <c r="C3" s="18"/>
      <c r="D3" s="18"/>
    </row>
    <row r="4" spans="1:15" ht="17.399999999999999">
      <c r="A4" s="51" t="s">
        <v>2</v>
      </c>
      <c r="B4" s="1"/>
      <c r="C4" s="1"/>
    </row>
    <row r="5" spans="1:15">
      <c r="A5" s="1"/>
      <c r="B5" s="1"/>
      <c r="C5" s="1"/>
    </row>
    <row r="6" spans="1:15" ht="15.6">
      <c r="A6" s="47" t="s">
        <v>3</v>
      </c>
      <c r="B6" s="48" t="s">
        <v>4</v>
      </c>
      <c r="C6" s="48" t="s">
        <v>5</v>
      </c>
      <c r="D6" s="48" t="s">
        <v>6</v>
      </c>
      <c r="E6" s="48" t="s">
        <v>7</v>
      </c>
      <c r="F6" s="48" t="s">
        <v>8</v>
      </c>
    </row>
    <row r="7" spans="1:15">
      <c r="A7" s="14" t="s">
        <v>9</v>
      </c>
      <c r="B7" s="39">
        <v>0.03</v>
      </c>
      <c r="C7" s="39">
        <v>0.05</v>
      </c>
      <c r="D7" s="39">
        <v>0.06</v>
      </c>
      <c r="E7" s="39">
        <v>0.06</v>
      </c>
      <c r="F7" s="39">
        <v>0.06</v>
      </c>
    </row>
    <row r="8" spans="1:15">
      <c r="A8" s="14" t="s">
        <v>10</v>
      </c>
      <c r="B8" s="39">
        <v>0.23499999999999999</v>
      </c>
      <c r="C8" s="39">
        <v>0.23499999999999999</v>
      </c>
      <c r="D8" s="39">
        <v>0.23499999999999999</v>
      </c>
      <c r="E8" s="39">
        <v>0.23499999999999999</v>
      </c>
      <c r="F8" s="39">
        <v>0.23499999999999999</v>
      </c>
    </row>
    <row r="9" spans="1:15">
      <c r="A9" s="14" t="s">
        <v>11</v>
      </c>
      <c r="B9" s="39">
        <v>2.75E-2</v>
      </c>
      <c r="C9" s="39">
        <v>2.75E-2</v>
      </c>
      <c r="D9" s="39">
        <v>2.75E-2</v>
      </c>
      <c r="E9" s="39">
        <v>2.75E-2</v>
      </c>
      <c r="F9" s="39">
        <v>2.75E-2</v>
      </c>
    </row>
    <row r="10" spans="1:15">
      <c r="A10" s="14" t="s">
        <v>12</v>
      </c>
      <c r="B10" s="40">
        <v>0.25</v>
      </c>
      <c r="C10" s="40">
        <v>0.25</v>
      </c>
      <c r="D10" s="40">
        <v>0.25</v>
      </c>
      <c r="E10" s="40">
        <v>0.25</v>
      </c>
      <c r="F10" s="40">
        <v>0.25</v>
      </c>
      <c r="K10" s="4"/>
      <c r="L10" s="6"/>
      <c r="M10" s="6"/>
      <c r="N10" s="6"/>
      <c r="O10" s="6"/>
    </row>
    <row r="11" spans="1:15" ht="17.399999999999999">
      <c r="A11" s="14" t="s">
        <v>13</v>
      </c>
      <c r="B11" s="46">
        <v>1.4999999999999999E-2</v>
      </c>
      <c r="C11" s="39">
        <v>1.4999999999999999E-2</v>
      </c>
      <c r="D11" s="39">
        <v>1.4999999999999999E-2</v>
      </c>
      <c r="E11" s="39">
        <v>1.4999999999999999E-2</v>
      </c>
      <c r="F11" s="39">
        <v>1.4999999999999999E-2</v>
      </c>
    </row>
    <row r="12" spans="1:15">
      <c r="A12" s="14" t="s">
        <v>14</v>
      </c>
      <c r="B12" s="39">
        <v>1.4999999999999999E-2</v>
      </c>
      <c r="C12" s="39">
        <v>1.4999999999999999E-2</v>
      </c>
      <c r="D12" s="39">
        <v>1.4999999999999999E-2</v>
      </c>
      <c r="E12" s="39">
        <v>1.4999999999999999E-2</v>
      </c>
      <c r="F12" s="39">
        <v>1.4999999999999999E-2</v>
      </c>
    </row>
    <row r="13" spans="1:15">
      <c r="A13" s="14" t="s">
        <v>15</v>
      </c>
      <c r="B13" s="39">
        <v>6.9800000000000001E-2</v>
      </c>
      <c r="C13" s="41"/>
      <c r="D13" s="41"/>
      <c r="E13" s="41"/>
      <c r="F13" s="41"/>
    </row>
    <row r="14" spans="1:15">
      <c r="A14" s="14" t="s">
        <v>16</v>
      </c>
      <c r="B14" s="41">
        <v>0.5</v>
      </c>
      <c r="C14" s="41"/>
      <c r="D14" s="41"/>
      <c r="E14" s="41"/>
      <c r="F14" s="41"/>
    </row>
    <row r="15" spans="1:15">
      <c r="A15" s="14" t="s">
        <v>17</v>
      </c>
      <c r="B15" s="39">
        <v>7.8100000000000003E-2</v>
      </c>
      <c r="C15" s="41"/>
      <c r="D15" s="41"/>
      <c r="E15" s="41"/>
      <c r="F15" s="41"/>
    </row>
    <row r="16" spans="1:15">
      <c r="A16" s="14" t="s">
        <v>18</v>
      </c>
      <c r="B16" s="40">
        <v>0</v>
      </c>
      <c r="C16" s="41"/>
      <c r="D16" s="41"/>
      <c r="E16" s="41"/>
      <c r="F16" s="41"/>
    </row>
    <row r="17" spans="1:6">
      <c r="A17" s="14" t="s">
        <v>19</v>
      </c>
      <c r="B17" s="40">
        <v>0.04</v>
      </c>
      <c r="C17" s="41"/>
      <c r="D17" s="41"/>
      <c r="E17" s="41"/>
      <c r="F17" s="41"/>
    </row>
    <row r="18" spans="1:6">
      <c r="A18" s="14" t="s">
        <v>20</v>
      </c>
      <c r="B18" s="41">
        <v>1036.5</v>
      </c>
      <c r="C18" s="41"/>
      <c r="D18" s="41"/>
      <c r="E18" s="41"/>
      <c r="F18" s="41"/>
    </row>
    <row r="19" spans="1:6">
      <c r="A19" s="14" t="s">
        <v>21</v>
      </c>
      <c r="B19" s="38">
        <v>43075</v>
      </c>
      <c r="C19" s="41"/>
      <c r="D19" s="41"/>
      <c r="E19" s="41"/>
      <c r="F19" s="41"/>
    </row>
    <row r="20" spans="1:6">
      <c r="A20" s="14" t="s">
        <v>22</v>
      </c>
      <c r="B20" s="41">
        <v>405.82</v>
      </c>
      <c r="C20" s="41"/>
      <c r="D20" s="41"/>
      <c r="E20" s="41"/>
      <c r="F20" s="41"/>
    </row>
    <row r="21" spans="1:6">
      <c r="A21" s="14"/>
    </row>
    <row r="22" spans="1:6">
      <c r="A22" s="14"/>
    </row>
    <row r="38" spans="6:6" ht="17.399999999999999">
      <c r="F38" s="50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9"/>
  <sheetViews>
    <sheetView workbookViewId="0">
      <selection activeCell="I39" sqref="I39"/>
    </sheetView>
  </sheetViews>
  <sheetFormatPr defaultRowHeight="14.4"/>
  <cols>
    <col min="1" max="1" width="33.109375" bestFit="1" customWidth="1"/>
  </cols>
  <sheetData>
    <row r="1" spans="1:6" ht="18">
      <c r="A1" s="68" t="s">
        <v>23</v>
      </c>
      <c r="B1" s="68"/>
      <c r="C1" s="68"/>
      <c r="D1" s="68"/>
      <c r="E1" s="68"/>
      <c r="F1" s="68"/>
    </row>
    <row r="2" spans="1:6">
      <c r="A2" s="45" t="s">
        <v>1</v>
      </c>
      <c r="B2" s="18"/>
      <c r="C2" s="18"/>
      <c r="D2" s="18"/>
    </row>
    <row r="3" spans="1:6">
      <c r="A3" s="2"/>
      <c r="B3" s="2"/>
      <c r="C3" s="2"/>
      <c r="D3" s="2"/>
      <c r="E3" s="2"/>
      <c r="F3" s="2"/>
    </row>
    <row r="4" spans="1:6">
      <c r="A4" s="23" t="s">
        <v>24</v>
      </c>
      <c r="B4" s="23" t="s">
        <v>25</v>
      </c>
      <c r="C4" s="23" t="s">
        <v>26</v>
      </c>
      <c r="D4" s="23" t="s">
        <v>27</v>
      </c>
      <c r="E4" s="23" t="s">
        <v>28</v>
      </c>
      <c r="F4" s="23" t="s">
        <v>29</v>
      </c>
    </row>
    <row r="5" spans="1:6">
      <c r="A5" t="s">
        <v>30</v>
      </c>
      <c r="B5" s="3">
        <v>121641</v>
      </c>
      <c r="C5" s="3">
        <v>146767</v>
      </c>
      <c r="D5" s="3">
        <v>153670</v>
      </c>
      <c r="E5" s="3">
        <v>162990</v>
      </c>
      <c r="F5" s="3">
        <v>178650</v>
      </c>
    </row>
    <row r="6" spans="1:6">
      <c r="A6" t="s">
        <v>31</v>
      </c>
      <c r="B6" s="3">
        <v>31491</v>
      </c>
      <c r="C6" s="3">
        <v>35130</v>
      </c>
      <c r="D6" s="3">
        <v>36425</v>
      </c>
      <c r="E6" s="3">
        <v>39236</v>
      </c>
      <c r="F6" s="3">
        <v>41156</v>
      </c>
    </row>
    <row r="7" spans="1:6">
      <c r="A7" t="s">
        <v>32</v>
      </c>
      <c r="B7" s="3">
        <v>28015</v>
      </c>
      <c r="C7" s="3">
        <v>30905</v>
      </c>
      <c r="D7" s="3">
        <v>31747</v>
      </c>
      <c r="E7" s="3">
        <v>34424</v>
      </c>
      <c r="F7" s="3">
        <v>36254</v>
      </c>
    </row>
    <row r="8" spans="1:6">
      <c r="A8" t="s">
        <v>33</v>
      </c>
      <c r="B8" s="3">
        <v>22146</v>
      </c>
      <c r="C8" s="3">
        <v>24108</v>
      </c>
      <c r="D8" s="3">
        <v>26248</v>
      </c>
      <c r="E8" s="3">
        <v>26750</v>
      </c>
      <c r="F8" s="3">
        <v>29474</v>
      </c>
    </row>
    <row r="9" spans="1:6">
      <c r="A9" t="s">
        <v>34</v>
      </c>
      <c r="B9" s="3">
        <v>3476</v>
      </c>
      <c r="C9" s="3">
        <v>4225</v>
      </c>
      <c r="D9" s="3">
        <v>4678</v>
      </c>
      <c r="E9" s="3">
        <v>4812</v>
      </c>
      <c r="F9" s="3">
        <v>4902</v>
      </c>
    </row>
    <row r="10" spans="1:6">
      <c r="A10" t="s">
        <v>35</v>
      </c>
      <c r="B10" s="3">
        <v>2161</v>
      </c>
      <c r="C10" s="3">
        <v>2579</v>
      </c>
      <c r="D10" s="3">
        <v>2201</v>
      </c>
      <c r="E10" s="3">
        <v>2237</v>
      </c>
      <c r="F10" s="3">
        <v>2727</v>
      </c>
    </row>
    <row r="11" spans="1:6">
      <c r="A11" t="s">
        <v>36</v>
      </c>
      <c r="B11" s="3">
        <v>1183</v>
      </c>
      <c r="C11" s="3">
        <v>6503</v>
      </c>
      <c r="D11" s="3">
        <v>5162</v>
      </c>
      <c r="E11">
        <v>605</v>
      </c>
      <c r="F11" s="3">
        <v>2306</v>
      </c>
    </row>
    <row r="12" spans="1:6">
      <c r="A12" t="s">
        <v>37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>
      <c r="A13" t="s">
        <v>38</v>
      </c>
      <c r="B13" s="3">
        <v>17472</v>
      </c>
      <c r="C13" s="3">
        <v>12173</v>
      </c>
      <c r="D13" s="3">
        <v>14786</v>
      </c>
      <c r="E13" s="3">
        <v>24455</v>
      </c>
      <c r="F13" s="3">
        <v>22201</v>
      </c>
    </row>
    <row r="14" spans="1:6">
      <c r="A14" t="s">
        <v>39</v>
      </c>
      <c r="B14">
        <v>419.3</v>
      </c>
      <c r="C14">
        <v>413.64</v>
      </c>
      <c r="D14">
        <v>415.09</v>
      </c>
      <c r="E14">
        <v>414.36</v>
      </c>
      <c r="F14">
        <v>404.69</v>
      </c>
    </row>
    <row r="16" spans="1:6">
      <c r="A16" t="s">
        <v>40</v>
      </c>
    </row>
    <row r="17" spans="1:6">
      <c r="A17" t="s">
        <v>9</v>
      </c>
      <c r="B17" s="4"/>
      <c r="C17" s="4">
        <f>C5/B5-1</f>
        <v>0.20655864387829759</v>
      </c>
      <c r="D17" s="4">
        <f t="shared" ref="D17:F17" si="0">D5/C5-1</f>
        <v>4.7033733741236095E-2</v>
      </c>
      <c r="E17" s="4">
        <f t="shared" si="0"/>
        <v>6.0649443612936782E-2</v>
      </c>
      <c r="F17" s="4">
        <f t="shared" si="0"/>
        <v>9.6079514080618544E-2</v>
      </c>
    </row>
    <row r="18" spans="1:6">
      <c r="A18" t="s">
        <v>10</v>
      </c>
      <c r="B18" s="4">
        <f>B6/B5</f>
        <v>0.25888475102966929</v>
      </c>
      <c r="C18" s="4">
        <f t="shared" ref="C18:F18" si="1">C6/C5</f>
        <v>0.23935898396778568</v>
      </c>
      <c r="D18" s="4">
        <f t="shared" si="1"/>
        <v>0.23703390381987374</v>
      </c>
      <c r="E18" s="4">
        <f t="shared" si="1"/>
        <v>0.24072642493404503</v>
      </c>
      <c r="F18" s="4">
        <f t="shared" si="1"/>
        <v>0.23037223621606492</v>
      </c>
    </row>
    <row r="19" spans="1:6">
      <c r="A19" t="s">
        <v>41</v>
      </c>
      <c r="B19" s="4">
        <f>B7/B5</f>
        <v>0.23030885967724699</v>
      </c>
      <c r="C19" s="4">
        <f t="shared" ref="C19:F19" si="2">C7/C5</f>
        <v>0.21057185879659596</v>
      </c>
      <c r="D19" s="4">
        <f t="shared" si="2"/>
        <v>0.20659204789483959</v>
      </c>
      <c r="E19" s="4">
        <f t="shared" si="2"/>
        <v>0.21120314129701209</v>
      </c>
      <c r="F19" s="4">
        <f t="shared" si="2"/>
        <v>0.20293310943184997</v>
      </c>
    </row>
    <row r="20" spans="1:6">
      <c r="A20" t="s">
        <v>13</v>
      </c>
      <c r="B20" s="4">
        <f>B10/B5</f>
        <v>1.7765391603160118E-2</v>
      </c>
      <c r="C20" s="4">
        <f t="shared" ref="C20:F20" si="3">C10/C5</f>
        <v>1.7572070015739231E-2</v>
      </c>
      <c r="D20" s="4">
        <f t="shared" si="3"/>
        <v>1.4322899720179605E-2</v>
      </c>
      <c r="E20" s="4">
        <f t="shared" si="3"/>
        <v>1.3724768390698815E-2</v>
      </c>
      <c r="F20" s="4">
        <f t="shared" si="3"/>
        <v>1.5264483627204031E-2</v>
      </c>
    </row>
    <row r="21" spans="1:6">
      <c r="A21" t="s">
        <v>14</v>
      </c>
      <c r="B21" s="4">
        <f>B11/B5</f>
        <v>9.7253393181575293E-3</v>
      </c>
      <c r="C21" s="4">
        <f t="shared" ref="C21:F21" si="4">C11/C5</f>
        <v>4.4308325441005131E-2</v>
      </c>
      <c r="D21" s="4">
        <f t="shared" si="4"/>
        <v>3.3591462224246763E-2</v>
      </c>
      <c r="E21" s="4">
        <f t="shared" si="4"/>
        <v>3.7118841646726795E-3</v>
      </c>
      <c r="F21" s="4">
        <f t="shared" si="4"/>
        <v>1.2907920514973411E-2</v>
      </c>
    </row>
    <row r="26" spans="1:6" ht="15">
      <c r="F26" s="34"/>
    </row>
    <row r="39" spans="15:16" ht="15.6">
      <c r="O39" s="21"/>
      <c r="P39" s="21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workbookViewId="0">
      <selection sqref="A1:F1"/>
    </sheetView>
  </sheetViews>
  <sheetFormatPr defaultRowHeight="14.4"/>
  <cols>
    <col min="1" max="1" width="20.5546875" bestFit="1" customWidth="1"/>
    <col min="2" max="6" width="14.109375" bestFit="1" customWidth="1"/>
  </cols>
  <sheetData>
    <row r="1" spans="1:12" ht="18">
      <c r="A1" s="68" t="s">
        <v>42</v>
      </c>
      <c r="B1" s="68"/>
      <c r="C1" s="68"/>
      <c r="D1" s="68"/>
      <c r="E1" s="68"/>
      <c r="F1" s="68"/>
    </row>
    <row r="2" spans="1:12">
      <c r="A2" s="69" t="s">
        <v>1</v>
      </c>
      <c r="B2" s="69"/>
      <c r="C2" s="18"/>
      <c r="D2" s="18"/>
    </row>
    <row r="3" spans="1:12" s="43" customFormat="1" ht="15.6">
      <c r="A3" s="42"/>
      <c r="B3" s="42"/>
      <c r="C3" s="42"/>
    </row>
    <row r="4" spans="1:12">
      <c r="A4" s="23"/>
      <c r="B4" s="23" t="s">
        <v>4</v>
      </c>
      <c r="C4" s="23" t="s">
        <v>5</v>
      </c>
      <c r="D4" s="23" t="s">
        <v>6</v>
      </c>
      <c r="E4" s="23" t="s">
        <v>7</v>
      </c>
      <c r="F4" s="23" t="s">
        <v>8</v>
      </c>
    </row>
    <row r="5" spans="1:12">
      <c r="A5" s="5" t="s">
        <v>9</v>
      </c>
      <c r="B5" s="4">
        <f>Inputs!B7</f>
        <v>0.03</v>
      </c>
      <c r="C5" s="4">
        <f>Inputs!C7</f>
        <v>0.05</v>
      </c>
      <c r="D5" s="4">
        <f>Inputs!D7</f>
        <v>0.06</v>
      </c>
      <c r="E5" s="4">
        <f>Inputs!E7</f>
        <v>0.06</v>
      </c>
      <c r="F5" s="4">
        <f>Inputs!F7</f>
        <v>0.06</v>
      </c>
    </row>
    <row r="6" spans="1:12">
      <c r="A6" t="s">
        <v>30</v>
      </c>
      <c r="B6" s="8">
        <f>Historicals!F5*(1+B5)</f>
        <v>184009.5</v>
      </c>
      <c r="C6" s="8">
        <f>B6*(1+C5)</f>
        <v>193209.97500000001</v>
      </c>
      <c r="D6" s="8">
        <f t="shared" ref="D6:F6" si="0">C6*(1+D5)</f>
        <v>204802.57350000003</v>
      </c>
      <c r="E6" s="8">
        <f t="shared" si="0"/>
        <v>217090.72791000005</v>
      </c>
      <c r="F6" s="8">
        <f t="shared" si="0"/>
        <v>230116.17158460006</v>
      </c>
    </row>
    <row r="7" spans="1:12">
      <c r="A7" t="s">
        <v>31</v>
      </c>
      <c r="B7" s="8">
        <f>B6*B8</f>
        <v>43242.232499999998</v>
      </c>
      <c r="C7" s="8">
        <f t="shared" ref="C7:F7" si="1">C6*C8</f>
        <v>45404.344124999996</v>
      </c>
      <c r="D7" s="8">
        <f t="shared" si="1"/>
        <v>48128.604772500003</v>
      </c>
      <c r="E7" s="8">
        <f t="shared" si="1"/>
        <v>51016.321058850008</v>
      </c>
      <c r="F7" s="8">
        <f t="shared" si="1"/>
        <v>54077.300322381008</v>
      </c>
    </row>
    <row r="8" spans="1:12">
      <c r="A8" t="s">
        <v>10</v>
      </c>
      <c r="B8" s="4">
        <f>Inputs!B8</f>
        <v>0.23499999999999999</v>
      </c>
      <c r="C8" s="4">
        <f>Inputs!C8</f>
        <v>0.23499999999999999</v>
      </c>
      <c r="D8" s="4">
        <f>Inputs!D8</f>
        <v>0.23499999999999999</v>
      </c>
      <c r="E8" s="4">
        <f>Inputs!E8</f>
        <v>0.23499999999999999</v>
      </c>
      <c r="F8" s="4">
        <f>Inputs!F8</f>
        <v>0.23499999999999999</v>
      </c>
    </row>
    <row r="9" spans="1:12">
      <c r="A9" t="s">
        <v>34</v>
      </c>
      <c r="B9" s="7">
        <f>B6*Inputs!B9</f>
        <v>5060.2612500000005</v>
      </c>
      <c r="C9" s="7">
        <f>C6*Inputs!C9</f>
        <v>5313.2743125000006</v>
      </c>
      <c r="D9" s="7">
        <f>D6*Inputs!D9</f>
        <v>5632.0707712500007</v>
      </c>
      <c r="E9" s="7">
        <f>E6*Inputs!E9</f>
        <v>5969.9950175250015</v>
      </c>
      <c r="F9" s="7">
        <f>F6*Inputs!F9</f>
        <v>6328.1947185765021</v>
      </c>
    </row>
    <row r="10" spans="1:12">
      <c r="A10" t="s">
        <v>32</v>
      </c>
      <c r="B10" s="8">
        <f>B7-B9</f>
        <v>38181.971249999995</v>
      </c>
      <c r="C10" s="8">
        <f t="shared" ref="C10:F10" si="2">C7-C9</f>
        <v>40091.069812499998</v>
      </c>
      <c r="D10" s="8">
        <f t="shared" si="2"/>
        <v>42496.534001250002</v>
      </c>
      <c r="E10" s="8">
        <f t="shared" si="2"/>
        <v>45046.32604132501</v>
      </c>
      <c r="F10" s="8">
        <f t="shared" si="2"/>
        <v>47749.105603804506</v>
      </c>
    </row>
    <row r="11" spans="1:12">
      <c r="A11" t="s">
        <v>41</v>
      </c>
      <c r="B11" s="4">
        <f>B10/B6</f>
        <v>0.20749999999999996</v>
      </c>
      <c r="C11" s="4">
        <f t="shared" ref="C11:F11" si="3">C10/C6</f>
        <v>0.20749999999999999</v>
      </c>
      <c r="D11" s="4">
        <f t="shared" si="3"/>
        <v>0.20749999999999999</v>
      </c>
      <c r="E11" s="4">
        <f t="shared" si="3"/>
        <v>0.20749999999999999</v>
      </c>
      <c r="F11" s="4">
        <f t="shared" si="3"/>
        <v>0.20749999999999996</v>
      </c>
    </row>
    <row r="12" spans="1:12">
      <c r="A12" t="s">
        <v>12</v>
      </c>
      <c r="B12" s="9">
        <f>Inputs!B10</f>
        <v>0.25</v>
      </c>
      <c r="C12" s="9">
        <f>Inputs!C10</f>
        <v>0.25</v>
      </c>
      <c r="D12" s="9">
        <f>Inputs!D10</f>
        <v>0.25</v>
      </c>
      <c r="E12" s="9">
        <f>Inputs!E10</f>
        <v>0.25</v>
      </c>
      <c r="F12" s="9">
        <f>Inputs!F10</f>
        <v>0.25</v>
      </c>
    </row>
    <row r="13" spans="1:12">
      <c r="A13" t="s">
        <v>43</v>
      </c>
      <c r="B13" s="8">
        <f>B10*(1-B12)</f>
        <v>28636.478437499994</v>
      </c>
      <c r="C13" s="8">
        <f t="shared" ref="C13:F13" si="4">C10*(1-C12)</f>
        <v>30068.302359374997</v>
      </c>
      <c r="D13" s="8">
        <f t="shared" si="4"/>
        <v>31872.400500937503</v>
      </c>
      <c r="E13" s="8">
        <f t="shared" si="4"/>
        <v>33784.744530993761</v>
      </c>
      <c r="F13" s="8">
        <f t="shared" si="4"/>
        <v>35811.829202853376</v>
      </c>
    </row>
    <row r="14" spans="1:12">
      <c r="A14" t="s">
        <v>44</v>
      </c>
      <c r="B14" s="8">
        <f>B6*Inputs!B11</f>
        <v>2760.1424999999999</v>
      </c>
      <c r="C14" s="8">
        <f>C6*Inputs!C11</f>
        <v>2898.149625</v>
      </c>
      <c r="D14" s="8">
        <f>D6*Inputs!D11</f>
        <v>3072.0386025000003</v>
      </c>
      <c r="E14" s="8">
        <f>E6*Inputs!E11</f>
        <v>3256.3609186500007</v>
      </c>
      <c r="F14" s="8">
        <f>F6*Inputs!F11</f>
        <v>3451.742573769001</v>
      </c>
    </row>
    <row r="15" spans="1:12">
      <c r="A15" t="s">
        <v>36</v>
      </c>
      <c r="B15" s="8">
        <f>B6*(Inputs!B12)</f>
        <v>2760.1424999999999</v>
      </c>
      <c r="C15" s="8">
        <f>C6*(Inputs!C12)</f>
        <v>2898.149625</v>
      </c>
      <c r="D15" s="8">
        <f>D6*(Inputs!D12)</f>
        <v>3072.0386025000003</v>
      </c>
      <c r="E15" s="8">
        <f>E6*(Inputs!E12)</f>
        <v>3256.3609186500007</v>
      </c>
      <c r="F15" s="8">
        <f>F6*(Inputs!F12)</f>
        <v>3451.742573769001</v>
      </c>
    </row>
    <row r="16" spans="1:12">
      <c r="A16" t="s">
        <v>45</v>
      </c>
      <c r="B16" s="8">
        <f>B13+B9-B14-B15</f>
        <v>28176.454687499994</v>
      </c>
      <c r="C16" s="8">
        <f t="shared" ref="C16:F16" si="5">C13+C9-C14-C15</f>
        <v>29585.277421874998</v>
      </c>
      <c r="D16" s="8">
        <f t="shared" si="5"/>
        <v>31360.394067187506</v>
      </c>
      <c r="E16" s="8">
        <f t="shared" si="5"/>
        <v>33242.017711218752</v>
      </c>
      <c r="F16" s="8">
        <f t="shared" si="5"/>
        <v>35236.53877389188</v>
      </c>
      <c r="H16" s="20"/>
      <c r="I16" s="20"/>
      <c r="J16" s="20"/>
      <c r="K16" s="20"/>
      <c r="L16" s="20"/>
    </row>
    <row r="17" spans="8:12">
      <c r="H17" s="20"/>
      <c r="I17" s="20"/>
      <c r="J17" s="20"/>
      <c r="K17" s="20"/>
      <c r="L17" s="20"/>
    </row>
    <row r="18" spans="8:12">
      <c r="H18" s="20"/>
      <c r="I18" s="20"/>
      <c r="J18" s="20"/>
      <c r="K18" s="20"/>
      <c r="L18" s="20"/>
    </row>
    <row r="19" spans="8:12" ht="15.75" customHeight="1">
      <c r="H19" s="20"/>
      <c r="I19" s="20"/>
      <c r="J19" s="20"/>
      <c r="K19" s="20"/>
      <c r="L19" s="20"/>
    </row>
    <row r="20" spans="8:12">
      <c r="H20" s="20"/>
      <c r="I20" s="20"/>
      <c r="J20" s="20"/>
      <c r="K20" s="20"/>
      <c r="L20" s="20"/>
    </row>
    <row r="21" spans="8:12">
      <c r="H21" s="20"/>
      <c r="I21" s="20"/>
      <c r="J21" s="20"/>
      <c r="K21" s="20"/>
      <c r="L21" s="20"/>
    </row>
    <row r="22" spans="8:12">
      <c r="H22" s="20"/>
      <c r="I22" s="20"/>
      <c r="J22" s="20"/>
      <c r="K22" s="20"/>
      <c r="L22" s="20"/>
    </row>
    <row r="23" spans="8:12">
      <c r="H23" s="20"/>
      <c r="I23" s="20"/>
      <c r="J23" s="20"/>
      <c r="K23" s="20"/>
      <c r="L23" s="20"/>
    </row>
    <row r="24" spans="8:12">
      <c r="H24" s="20"/>
      <c r="I24" s="20"/>
      <c r="J24" s="20"/>
      <c r="K24" s="20"/>
      <c r="L24" s="20"/>
    </row>
    <row r="25" spans="8:12">
      <c r="H25" s="20"/>
      <c r="I25" s="20"/>
      <c r="J25" s="20"/>
      <c r="K25" s="20"/>
      <c r="L25" s="20"/>
    </row>
    <row r="26" spans="8:12">
      <c r="H26" s="20"/>
      <c r="I26" s="20"/>
      <c r="J26" s="20"/>
      <c r="K26" s="20"/>
      <c r="L26" s="20"/>
    </row>
  </sheetData>
  <mergeCells count="2">
    <mergeCell ref="A2:B2"/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selection activeCell="H17" sqref="H17"/>
    </sheetView>
  </sheetViews>
  <sheetFormatPr defaultRowHeight="14.4"/>
  <cols>
    <col min="1" max="1" width="36.6640625" bestFit="1" customWidth="1"/>
    <col min="2" max="2" width="15.109375" bestFit="1" customWidth="1"/>
    <col min="3" max="6" width="13.5546875" bestFit="1" customWidth="1"/>
  </cols>
  <sheetData>
    <row r="1" spans="1:14" ht="18">
      <c r="A1" s="68" t="s">
        <v>46</v>
      </c>
      <c r="B1" s="68"/>
      <c r="C1" s="68"/>
      <c r="D1" s="68"/>
      <c r="E1" s="68"/>
      <c r="F1" s="68"/>
    </row>
    <row r="2" spans="1:14" s="43" customFormat="1">
      <c r="A2" s="45" t="s">
        <v>1</v>
      </c>
      <c r="B2" s="49"/>
      <c r="C2" s="18"/>
      <c r="D2" s="18"/>
      <c r="E2"/>
      <c r="F2"/>
      <c r="G2"/>
      <c r="H2"/>
      <c r="I2"/>
      <c r="J2"/>
      <c r="K2"/>
      <c r="L2"/>
      <c r="M2"/>
      <c r="N2"/>
    </row>
    <row r="3" spans="1:14" s="43" customFormat="1" ht="15.6">
      <c r="A3" s="44"/>
    </row>
    <row r="4" spans="1:14">
      <c r="A4" s="23"/>
      <c r="B4" s="23" t="s">
        <v>4</v>
      </c>
      <c r="C4" s="23" t="s">
        <v>5</v>
      </c>
      <c r="D4" s="23" t="s">
        <v>6</v>
      </c>
      <c r="E4" s="23" t="s">
        <v>7</v>
      </c>
      <c r="F4" s="23" t="s">
        <v>8</v>
      </c>
    </row>
    <row r="5" spans="1:14">
      <c r="A5" t="s">
        <v>45</v>
      </c>
      <c r="B5" s="8">
        <f>Forecast!B16</f>
        <v>28176.454687499994</v>
      </c>
      <c r="C5" s="8">
        <f>Forecast!C16</f>
        <v>29585.277421874998</v>
      </c>
      <c r="D5" s="8">
        <f>Forecast!D16</f>
        <v>31360.394067187506</v>
      </c>
      <c r="E5" s="8">
        <f>Forecast!E16</f>
        <v>33242.017711218752</v>
      </c>
      <c r="F5" s="8">
        <f>Forecast!F16</f>
        <v>35236.53877389188</v>
      </c>
    </row>
    <row r="6" spans="1:14">
      <c r="A6" t="s">
        <v>47</v>
      </c>
      <c r="B6">
        <v>1</v>
      </c>
      <c r="C6">
        <v>2</v>
      </c>
      <c r="D6">
        <v>3</v>
      </c>
      <c r="E6">
        <v>4</v>
      </c>
      <c r="F6">
        <v>5</v>
      </c>
    </row>
    <row r="7" spans="1:14">
      <c r="A7" t="s">
        <v>48</v>
      </c>
      <c r="B7" s="10">
        <f>1/(1+$B$9)^B6</f>
        <v>0.90183523470261995</v>
      </c>
      <c r="C7" s="10">
        <f t="shared" ref="C7:F7" si="0">1/(1+$B$9)^C6</f>
        <v>0.81330679055112964</v>
      </c>
      <c r="D7" s="10">
        <f t="shared" si="0"/>
        <v>0.73346872034191257</v>
      </c>
      <c r="E7" s="10">
        <f t="shared" si="0"/>
        <v>0.66146793555657901</v>
      </c>
      <c r="F7" s="10">
        <f t="shared" si="0"/>
        <v>0.59653509091092494</v>
      </c>
    </row>
    <row r="8" spans="1:14">
      <c r="A8" t="s">
        <v>49</v>
      </c>
      <c r="B8" s="11">
        <f>B5*B7</f>
        <v>25410.519626189292</v>
      </c>
      <c r="C8" s="11">
        <f>C5*C7</f>
        <v>24061.907027549954</v>
      </c>
      <c r="D8" s="11">
        <f t="shared" ref="D8:F8" si="1">D5*D7</f>
        <v>23001.868105878126</v>
      </c>
      <c r="E8" s="11">
        <f t="shared" si="1"/>
        <v>21988.528829175102</v>
      </c>
      <c r="F8" s="11">
        <f t="shared" si="1"/>
        <v>21019.831860869923</v>
      </c>
    </row>
    <row r="9" spans="1:14">
      <c r="A9" t="s">
        <v>50</v>
      </c>
      <c r="B9" s="4">
        <f>B33</f>
        <v>0.10885</v>
      </c>
    </row>
    <row r="10" spans="1:14">
      <c r="A10" t="s">
        <v>19</v>
      </c>
      <c r="B10" s="9">
        <f>Inputs!B17</f>
        <v>0.04</v>
      </c>
    </row>
    <row r="11" spans="1:14">
      <c r="A11" t="s">
        <v>51</v>
      </c>
      <c r="B11" s="8">
        <f>F5*(1+B10)/(B33-B10)</f>
        <v>532258.53776103933</v>
      </c>
    </row>
    <row r="12" spans="1:14">
      <c r="A12" t="s">
        <v>52</v>
      </c>
      <c r="B12" s="8">
        <f>B11*F7</f>
        <v>317510.89521139755</v>
      </c>
      <c r="C12" s="7"/>
      <c r="D12" s="7"/>
      <c r="E12" s="7"/>
      <c r="F12" s="7"/>
    </row>
    <row r="13" spans="1:14" ht="15.6">
      <c r="A13" s="19" t="s">
        <v>53</v>
      </c>
      <c r="B13" s="11">
        <f>SUM(B8:F8)+B12</f>
        <v>432993.55066105997</v>
      </c>
    </row>
    <row r="14" spans="1:14" ht="15.6">
      <c r="A14" t="s">
        <v>21</v>
      </c>
      <c r="B14" s="8">
        <f>Inputs!B19</f>
        <v>43075</v>
      </c>
      <c r="N14" s="44"/>
    </row>
    <row r="15" spans="1:14">
      <c r="A15" t="s">
        <v>54</v>
      </c>
      <c r="B15">
        <f>Historicals!F12</f>
        <v>0</v>
      </c>
    </row>
    <row r="16" spans="1:14">
      <c r="A16" t="s">
        <v>55</v>
      </c>
      <c r="B16" s="11">
        <f>B13+B14-B15</f>
        <v>476068.55066105997</v>
      </c>
    </row>
    <row r="17" spans="1:2">
      <c r="A17" t="s">
        <v>39</v>
      </c>
      <c r="B17" s="12">
        <f>Inputs!B20</f>
        <v>405.82</v>
      </c>
    </row>
    <row r="18" spans="1:2">
      <c r="A18" t="s">
        <v>56</v>
      </c>
      <c r="B18" s="8">
        <f>B16/B17</f>
        <v>1173.1027319034547</v>
      </c>
    </row>
    <row r="19" spans="1:2">
      <c r="A19" t="s">
        <v>20</v>
      </c>
      <c r="B19" s="7">
        <f>Inputs!B18</f>
        <v>1036.5</v>
      </c>
    </row>
    <row r="20" spans="1:2">
      <c r="A20" t="s">
        <v>57</v>
      </c>
      <c r="B20" s="9">
        <f>B18/B19-1</f>
        <v>0.13179231249730305</v>
      </c>
    </row>
    <row r="24" spans="1:2">
      <c r="A24" t="s">
        <v>15</v>
      </c>
      <c r="B24" s="4">
        <f>Inputs!B13</f>
        <v>6.9800000000000001E-2</v>
      </c>
    </row>
    <row r="25" spans="1:2">
      <c r="A25" t="s">
        <v>16</v>
      </c>
      <c r="B25">
        <f>Inputs!B14</f>
        <v>0.5</v>
      </c>
    </row>
    <row r="26" spans="1:2">
      <c r="A26" t="s">
        <v>17</v>
      </c>
      <c r="B26" s="4">
        <f>Inputs!B15</f>
        <v>7.8100000000000003E-2</v>
      </c>
    </row>
    <row r="27" spans="1:2">
      <c r="A27" t="s">
        <v>58</v>
      </c>
      <c r="B27" s="4">
        <f>B24+B25*B26</f>
        <v>0.10885</v>
      </c>
    </row>
    <row r="28" spans="1:2">
      <c r="A28" t="s">
        <v>18</v>
      </c>
      <c r="B28" s="4">
        <f>Inputs!B16</f>
        <v>0</v>
      </c>
    </row>
    <row r="29" spans="1:2">
      <c r="A29" t="s">
        <v>59</v>
      </c>
      <c r="B29" s="8">
        <f>Inputs!B18*Inputs!B20</f>
        <v>420632.43</v>
      </c>
    </row>
    <row r="30" spans="1:2">
      <c r="A30" t="s">
        <v>54</v>
      </c>
      <c r="B30" s="13">
        <v>0</v>
      </c>
    </row>
    <row r="31" spans="1:2">
      <c r="A31" t="s">
        <v>60</v>
      </c>
      <c r="B31" s="4">
        <f>B29/(B30+B29)</f>
        <v>1</v>
      </c>
    </row>
    <row r="32" spans="1:2">
      <c r="A32" t="s">
        <v>61</v>
      </c>
      <c r="B32" s="4">
        <f>B30/(B30+B29)</f>
        <v>0</v>
      </c>
    </row>
    <row r="33" spans="1:4">
      <c r="A33" t="s">
        <v>50</v>
      </c>
      <c r="B33" s="4">
        <f>B31*B27+B32*B28*(1-Inputs!B10)</f>
        <v>0.10885</v>
      </c>
    </row>
    <row r="36" spans="1:4" ht="15.6">
      <c r="A36" s="70" t="s">
        <v>62</v>
      </c>
      <c r="B36" s="70"/>
    </row>
    <row r="37" spans="1:4">
      <c r="A37" s="59" t="s">
        <v>63</v>
      </c>
      <c r="B37" s="15">
        <v>0.03</v>
      </c>
      <c r="C37" s="15">
        <v>0.04</v>
      </c>
      <c r="D37" s="15">
        <v>0.05</v>
      </c>
    </row>
    <row r="38" spans="1:4">
      <c r="A38" s="15">
        <f>B33-1%</f>
        <v>9.8850000000000007E-2</v>
      </c>
      <c r="B38" s="16" cm="1">
        <f t="array" ref="B38">(SUMPRODUCT($B$5:$F$5,1/(1+$A38)^$B$6:$F$6)+($F$5*(1+B$37)/($A38-B$37))/(1+$A38)^$F$6+$B$14-$B$15)/$B$17</f>
        <v>1209.1005720175135</v>
      </c>
      <c r="C38" s="16" cm="1">
        <f t="array" ref="C38">(SUMPRODUCT($B$5:$F$5,1/(1+$A38)^$B$6:$F$6)+($F$5*(1+C$37)/($A38-C$37))/(1+$A38)^$F$6+$B$14-$B$15)/$B$17</f>
        <v>1356.0797226881025</v>
      </c>
      <c r="D38" s="16" cm="1">
        <f t="array" ref="D38">(SUMPRODUCT($B$5:$F$5,1/(1+$A38)^$B$6:$F$6)+($F$5*(1+D$37)/($A38-D$37))/(1+$A38)^$F$6+$B$14-$B$15)/$B$17</f>
        <v>1563.2345747591371</v>
      </c>
    </row>
    <row r="39" spans="1:4">
      <c r="A39" s="15">
        <f>B33</f>
        <v>0.10885</v>
      </c>
      <c r="B39" s="16" cm="1">
        <f t="array" ref="B39">(SUMPRODUCT($B$5:$F$5,1/(1+$A39)^$B$6:$F$6)+($F$5*(1+B$37)/($A39-B$37))/(1+$A39)^$F$6+$B$14-$B$15)/$B$17</f>
        <v>1067.3082661511501</v>
      </c>
      <c r="C39" s="17" cm="1">
        <f t="array" ref="C39">(SUMPRODUCT($B$5:$F$5,1/(1+$A39)^$B$6:$F$6)+($F$5*(1+C$37)/($A39-C$37))/(1+$A39)^$F$6+$B$14-$B$15)/$B$17</f>
        <v>1173.1027319034547</v>
      </c>
      <c r="D39" s="16" cm="1">
        <f t="array" ref="D39">(SUMPRODUCT($B$5:$F$5,1/(1+$A39)^$B$6:$F$6)+($F$5*(1+D$37)/($A39-D$37))/(1+$A39)^$F$6+$B$14-$B$15)/$B$17</f>
        <v>1314.8511367389553</v>
      </c>
    </row>
    <row r="40" spans="1:4">
      <c r="A40" s="15">
        <f>B33+1%</f>
        <v>0.11885</v>
      </c>
      <c r="B40" s="16" cm="1">
        <f t="array" ref="B40">(SUMPRODUCT($B$5:$F$5,1/(1+$A40)^$B$6:$F$6)+($F$5*(1+B$37)/($A40-B$37))/(1+$A40)^$F$6+$B$14-$B$15)/$B$17</f>
        <v>957.49370512129997</v>
      </c>
      <c r="C40" s="16" cm="1">
        <f t="array" ref="C40">(SUMPRODUCT($B$5:$F$5,1/(1+$A40)^$B$6:$F$6)+($F$5*(1+C$37)/($A40-C$37))/(1+$A40)^$F$6+$B$14-$B$15)/$B$17</f>
        <v>1036.5821799722282</v>
      </c>
      <c r="D40" s="16" cm="1">
        <f t="array" ref="D40">(SUMPRODUCT($B$5:$F$5,1/(1+$A40)^$B$6:$F$6)+($F$5*(1+D$37)/($A40-D$37))/(1+$A40)^$F$6+$B$14-$B$15)/$B$17</f>
        <v>1138.6447942134048</v>
      </c>
    </row>
  </sheetData>
  <mergeCells count="2">
    <mergeCell ref="A36:B36"/>
    <mergeCell ref="A1:F1"/>
  </mergeCells>
  <conditionalFormatting sqref="B38:D4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8:D40">
    <cfRule type="colorScale" priority="4">
      <colorScale>
        <cfvo type="min"/>
        <cfvo type="max"/>
        <color rgb="FF63BE7B"/>
        <color rgb="FFFFEF9C"/>
      </colorScale>
    </cfRule>
  </conditionalFormatting>
  <conditionalFormatting sqref="B38:D40">
    <cfRule type="colorScale" priority="3">
      <colorScale>
        <cfvo type="min"/>
        <cfvo type="max"/>
        <color rgb="FFFCFCFF"/>
        <color rgb="FF63BE7B"/>
      </colorScale>
    </cfRule>
  </conditionalFormatting>
  <conditionalFormatting sqref="B38:D40">
    <cfRule type="colorScale" priority="2">
      <colorScale>
        <cfvo type="min"/>
        <cfvo type="max"/>
        <color rgb="FFFCFCFF"/>
        <color rgb="FFF8696B"/>
      </colorScale>
    </cfRule>
  </conditionalFormatting>
  <conditionalFormatting sqref="B38:D4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9"/>
  <sheetViews>
    <sheetView workbookViewId="0">
      <selection activeCell="K20" sqref="K20"/>
    </sheetView>
  </sheetViews>
  <sheetFormatPr defaultRowHeight="14.4"/>
  <cols>
    <col min="1" max="1" width="29.6640625" customWidth="1"/>
    <col min="2" max="3" width="13.6640625" customWidth="1"/>
    <col min="4" max="4" width="13.5546875" bestFit="1" customWidth="1"/>
    <col min="5" max="5" width="19.33203125" bestFit="1" customWidth="1"/>
    <col min="6" max="6" width="19.5546875" bestFit="1" customWidth="1"/>
  </cols>
  <sheetData>
    <row r="1" spans="1:20" ht="18">
      <c r="A1" s="68" t="s">
        <v>64</v>
      </c>
      <c r="B1" s="68"/>
      <c r="C1" s="68"/>
      <c r="D1" s="68"/>
      <c r="E1" s="68"/>
      <c r="F1" s="68"/>
      <c r="G1" s="52"/>
      <c r="H1" s="52"/>
    </row>
    <row r="2" spans="1:20">
      <c r="A2" s="45" t="s">
        <v>65</v>
      </c>
      <c r="B2" s="49"/>
      <c r="C2" s="18"/>
      <c r="D2" s="18"/>
    </row>
    <row r="3" spans="1:20">
      <c r="A3" s="69" t="s">
        <v>1</v>
      </c>
      <c r="B3" s="69"/>
      <c r="C3" s="18"/>
      <c r="D3" s="18"/>
    </row>
    <row r="5" spans="1:20" ht="15">
      <c r="A5" s="24" t="s">
        <v>66</v>
      </c>
      <c r="B5" s="24" t="s">
        <v>67</v>
      </c>
      <c r="C5" s="24" t="s">
        <v>68</v>
      </c>
      <c r="D5" s="24" t="s">
        <v>69</v>
      </c>
      <c r="E5" s="24" t="s">
        <v>70</v>
      </c>
      <c r="F5" s="24" t="s">
        <v>71</v>
      </c>
    </row>
    <row r="6" spans="1:20">
      <c r="A6" t="s">
        <v>72</v>
      </c>
      <c r="B6" s="26">
        <f>Inputs!B18</f>
        <v>1036.5</v>
      </c>
      <c r="C6" s="26">
        <v>2199.4</v>
      </c>
      <c r="D6" s="26">
        <v>1207</v>
      </c>
      <c r="E6" s="26">
        <v>166.3</v>
      </c>
      <c r="F6" s="26">
        <v>1525.8</v>
      </c>
      <c r="O6" s="20"/>
      <c r="P6" s="20"/>
      <c r="Q6" s="20"/>
      <c r="R6" s="20"/>
      <c r="S6" s="20"/>
      <c r="T6" s="20"/>
    </row>
    <row r="7" spans="1:20">
      <c r="A7" t="s">
        <v>73</v>
      </c>
      <c r="B7" s="8">
        <f>DCF!B29</f>
        <v>420632.43</v>
      </c>
      <c r="C7" s="8">
        <v>797000</v>
      </c>
      <c r="D7" s="8">
        <v>327000</v>
      </c>
      <c r="E7" s="8">
        <v>164000</v>
      </c>
      <c r="F7" s="8">
        <v>135000</v>
      </c>
      <c r="O7" s="20"/>
      <c r="P7" s="20"/>
      <c r="Q7" s="20"/>
      <c r="R7" s="20"/>
      <c r="S7" s="20"/>
      <c r="T7" s="20"/>
    </row>
    <row r="8" spans="1:20">
      <c r="A8" t="s">
        <v>74</v>
      </c>
      <c r="B8" s="8">
        <v>399455</v>
      </c>
      <c r="C8" s="8">
        <v>764862</v>
      </c>
      <c r="D8" s="8">
        <v>307000</v>
      </c>
      <c r="E8" s="8">
        <v>146000</v>
      </c>
      <c r="F8" s="8">
        <v>129000</v>
      </c>
      <c r="O8" s="20"/>
      <c r="P8" s="20"/>
      <c r="Q8" s="20"/>
      <c r="R8" s="20"/>
      <c r="S8" s="20"/>
      <c r="T8" s="20"/>
    </row>
    <row r="9" spans="1:20" ht="15.75" customHeight="1">
      <c r="A9" t="s">
        <v>75</v>
      </c>
      <c r="B9" s="8">
        <v>184582</v>
      </c>
      <c r="C9" s="8">
        <v>275859</v>
      </c>
      <c r="D9" s="8">
        <v>134374</v>
      </c>
      <c r="E9" s="8">
        <v>94968</v>
      </c>
      <c r="F9" s="8">
        <v>59176</v>
      </c>
      <c r="O9" s="20"/>
      <c r="P9" s="20"/>
      <c r="Q9" s="20"/>
      <c r="R9" s="20"/>
      <c r="S9" s="20"/>
      <c r="T9" s="20"/>
    </row>
    <row r="10" spans="1:20">
      <c r="A10" t="s">
        <v>76</v>
      </c>
      <c r="B10" s="8">
        <v>42622</v>
      </c>
      <c r="C10" s="8">
        <v>74079</v>
      </c>
      <c r="D10" s="8">
        <v>27492</v>
      </c>
      <c r="E10" s="8">
        <v>18211</v>
      </c>
      <c r="F10" s="8">
        <v>9841</v>
      </c>
      <c r="O10" s="20"/>
      <c r="P10" s="20"/>
      <c r="Q10" s="20"/>
      <c r="R10" s="20"/>
      <c r="S10" s="20"/>
      <c r="T10" s="20"/>
    </row>
    <row r="11" spans="1:20">
      <c r="A11" t="s">
        <v>77</v>
      </c>
      <c r="B11" s="8">
        <v>30288</v>
      </c>
      <c r="C11" s="8">
        <v>49799</v>
      </c>
      <c r="D11" s="8">
        <v>18142</v>
      </c>
      <c r="E11" s="8">
        <v>13219</v>
      </c>
      <c r="F11" s="8">
        <v>5135</v>
      </c>
      <c r="O11" s="20"/>
      <c r="P11" s="20"/>
      <c r="Q11" s="20"/>
      <c r="R11" s="20"/>
      <c r="S11" s="20"/>
      <c r="T11" s="20"/>
    </row>
    <row r="12" spans="1:20">
      <c r="A12" t="s">
        <v>78</v>
      </c>
      <c r="B12" s="27">
        <f>B7/B11</f>
        <v>13.88775851822504</v>
      </c>
      <c r="C12" s="27">
        <f t="shared" ref="C12:F12" si="0">C7/C11</f>
        <v>16.004337436494708</v>
      </c>
      <c r="D12" s="27">
        <f t="shared" si="0"/>
        <v>18.02447359717782</v>
      </c>
      <c r="E12" s="27">
        <f t="shared" si="0"/>
        <v>12.406384749224602</v>
      </c>
      <c r="F12" s="27">
        <f t="shared" si="0"/>
        <v>26.29016553067186</v>
      </c>
      <c r="O12" s="20"/>
      <c r="P12" s="20"/>
      <c r="Q12" s="20"/>
      <c r="R12" s="20"/>
      <c r="S12" s="20"/>
      <c r="T12" s="20"/>
    </row>
    <row r="13" spans="1:20">
      <c r="A13" t="s">
        <v>79</v>
      </c>
      <c r="B13" s="12">
        <f>B8/B10</f>
        <v>9.3720379146919424</v>
      </c>
      <c r="C13" s="12">
        <f t="shared" ref="C13:F13" si="1">C8/C10</f>
        <v>10.324950390799012</v>
      </c>
      <c r="D13" s="12">
        <f t="shared" si="1"/>
        <v>11.166884911974392</v>
      </c>
      <c r="E13" s="12">
        <f t="shared" si="1"/>
        <v>8.0171325023337552</v>
      </c>
      <c r="F13" s="12">
        <f t="shared" si="1"/>
        <v>13.108423940656438</v>
      </c>
      <c r="O13" s="20"/>
      <c r="P13" s="20"/>
      <c r="Q13" s="20"/>
      <c r="R13" s="20"/>
      <c r="S13" s="20"/>
      <c r="T13" s="20"/>
    </row>
    <row r="14" spans="1:20" ht="15.6">
      <c r="F14" s="19"/>
      <c r="O14" s="20"/>
      <c r="P14" s="20"/>
      <c r="Q14" s="20"/>
      <c r="R14" s="20"/>
      <c r="S14" s="20"/>
      <c r="T14" s="20"/>
    </row>
    <row r="15" spans="1:20">
      <c r="A15" t="s">
        <v>80</v>
      </c>
      <c r="B15" s="27">
        <f>MEDIAN(C12:F12)</f>
        <v>17.014405516836263</v>
      </c>
    </row>
    <row r="16" spans="1:20">
      <c r="A16" t="s">
        <v>81</v>
      </c>
      <c r="B16" s="27">
        <f>MEDIAN(C13:F13)</f>
        <v>10.745917651386701</v>
      </c>
    </row>
    <row r="18" spans="1:6" ht="28.8">
      <c r="A18" s="31" t="s">
        <v>82</v>
      </c>
    </row>
    <row r="19" spans="1:6">
      <c r="A19" s="53" t="s">
        <v>83</v>
      </c>
      <c r="B19" s="54" t="s">
        <v>84</v>
      </c>
      <c r="C19" s="54" t="s">
        <v>85</v>
      </c>
      <c r="D19" s="54" t="s">
        <v>86</v>
      </c>
      <c r="E19" s="54" t="s">
        <v>87</v>
      </c>
      <c r="F19" s="28"/>
    </row>
    <row r="20" spans="1:6">
      <c r="A20" t="s">
        <v>78</v>
      </c>
      <c r="B20" s="27">
        <f>B15</f>
        <v>17.014405516836263</v>
      </c>
      <c r="C20" s="8">
        <f>B11</f>
        <v>30288</v>
      </c>
      <c r="D20" s="29">
        <f>B20*C20</f>
        <v>515332.31429393671</v>
      </c>
      <c r="E20" s="30">
        <f>D20/DCF!B17</f>
        <v>1269.8544041543953</v>
      </c>
    </row>
    <row r="21" spans="1:6">
      <c r="A21" t="s">
        <v>79</v>
      </c>
      <c r="B21" s="27">
        <f>B16</f>
        <v>10.745917651386701</v>
      </c>
      <c r="C21" s="8">
        <f>B10</f>
        <v>42622</v>
      </c>
      <c r="D21" s="29">
        <f>B21*C21</f>
        <v>458012.50213740399</v>
      </c>
    </row>
    <row r="23" spans="1:6">
      <c r="A23" t="s">
        <v>88</v>
      </c>
    </row>
    <row r="24" spans="1:6">
      <c r="A24" t="s">
        <v>89</v>
      </c>
      <c r="B24" s="32">
        <f>D21</f>
        <v>458012.50213740399</v>
      </c>
    </row>
    <row r="25" spans="1:6">
      <c r="A25" t="s">
        <v>90</v>
      </c>
      <c r="B25" s="32">
        <f>Inputs!B19</f>
        <v>43075</v>
      </c>
    </row>
    <row r="26" spans="1:6">
      <c r="A26" t="s">
        <v>54</v>
      </c>
      <c r="B26" s="32">
        <f>Historicals!F12</f>
        <v>0</v>
      </c>
    </row>
    <row r="27" spans="1:6">
      <c r="A27" t="s">
        <v>91</v>
      </c>
      <c r="B27" s="32">
        <f>B24+B25-B26</f>
        <v>501087.50213740399</v>
      </c>
    </row>
    <row r="28" spans="1:6">
      <c r="A28" t="s">
        <v>92</v>
      </c>
      <c r="B28" s="25">
        <f>DCF!B17</f>
        <v>405.82</v>
      </c>
    </row>
    <row r="29" spans="1:6">
      <c r="A29" t="s">
        <v>87</v>
      </c>
      <c r="B29" s="33">
        <f>B27/B28</f>
        <v>1234.7530977709428</v>
      </c>
    </row>
  </sheetData>
  <mergeCells count="2">
    <mergeCell ref="A3:B3"/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"/>
  <sheetViews>
    <sheetView topLeftCell="D1" workbookViewId="0">
      <selection activeCell="K14" sqref="K14"/>
    </sheetView>
  </sheetViews>
  <sheetFormatPr defaultRowHeight="14.4"/>
  <cols>
    <col min="1" max="1" width="34.6640625" bestFit="1" customWidth="1"/>
    <col min="2" max="2" width="12.88671875" bestFit="1" customWidth="1"/>
    <col min="3" max="3" width="19.109375" bestFit="1" customWidth="1"/>
    <col min="4" max="4" width="20.109375" bestFit="1" customWidth="1"/>
    <col min="5" max="5" width="19.109375" bestFit="1" customWidth="1"/>
    <col min="7" max="7" width="17.5546875" customWidth="1"/>
    <col min="8" max="28" width="13.6640625" customWidth="1"/>
  </cols>
  <sheetData>
    <row r="1" spans="1:17" ht="18">
      <c r="A1" s="68" t="s">
        <v>93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</row>
    <row r="2" spans="1:17">
      <c r="A2" s="45" t="s">
        <v>65</v>
      </c>
      <c r="B2" s="49"/>
      <c r="C2" s="18"/>
      <c r="D2" s="18"/>
    </row>
    <row r="3" spans="1:17">
      <c r="A3" s="45" t="s">
        <v>1</v>
      </c>
      <c r="B3" s="49"/>
      <c r="C3" s="18"/>
      <c r="D3" s="18"/>
    </row>
    <row r="5" spans="1:17" ht="15">
      <c r="A5" s="24" t="s">
        <v>94</v>
      </c>
      <c r="C5" s="24" t="s">
        <v>57</v>
      </c>
      <c r="G5" s="24" t="s">
        <v>95</v>
      </c>
    </row>
    <row r="6" spans="1:17">
      <c r="A6" t="s">
        <v>20</v>
      </c>
      <c r="B6" s="7">
        <f>Inputs!B18</f>
        <v>1036.5</v>
      </c>
      <c r="C6" s="4">
        <f>0</f>
        <v>0</v>
      </c>
      <c r="G6" s="22" t="s">
        <v>96</v>
      </c>
      <c r="H6" t="s">
        <v>97</v>
      </c>
    </row>
    <row r="7" spans="1:17">
      <c r="A7" t="s">
        <v>98</v>
      </c>
      <c r="B7" s="7">
        <f>DCF!B18</f>
        <v>1173.1027319034547</v>
      </c>
      <c r="C7" s="4">
        <f>B7/B6-1</f>
        <v>0.13179231249730305</v>
      </c>
      <c r="G7" s="22" t="s">
        <v>99</v>
      </c>
      <c r="H7" s="20" t="s">
        <v>100</v>
      </c>
      <c r="I7" s="20"/>
      <c r="J7" s="20"/>
      <c r="K7" s="20"/>
      <c r="L7" s="20"/>
      <c r="M7" s="20"/>
      <c r="N7" s="20"/>
    </row>
    <row r="8" spans="1:17">
      <c r="A8" t="s">
        <v>101</v>
      </c>
      <c r="B8" s="7">
        <f>Comps!E20</f>
        <v>1269.8544041543953</v>
      </c>
      <c r="C8" s="4">
        <f>B8/B6-1</f>
        <v>0.22513690704717337</v>
      </c>
      <c r="G8" s="22" t="s">
        <v>102</v>
      </c>
      <c r="H8" s="20" t="s">
        <v>170</v>
      </c>
      <c r="I8" s="20"/>
      <c r="J8" s="20"/>
      <c r="K8" s="20"/>
      <c r="L8" s="20"/>
      <c r="M8" s="20"/>
      <c r="N8" s="20"/>
      <c r="O8" s="20"/>
      <c r="P8" s="20"/>
      <c r="Q8" s="20"/>
    </row>
    <row r="9" spans="1:17">
      <c r="A9" t="s">
        <v>103</v>
      </c>
      <c r="B9" s="7">
        <f>Comps!B29</f>
        <v>1234.7530977709428</v>
      </c>
      <c r="C9" s="4">
        <f>B9/B6-1</f>
        <v>0.19127168139984829</v>
      </c>
      <c r="G9" s="22" t="s">
        <v>104</v>
      </c>
      <c r="H9" s="20" t="s">
        <v>105</v>
      </c>
      <c r="I9" s="20"/>
      <c r="J9" s="20"/>
      <c r="K9" s="20"/>
      <c r="L9" s="20"/>
      <c r="M9" s="20"/>
      <c r="N9" s="20"/>
      <c r="O9" s="20"/>
      <c r="P9" s="20"/>
      <c r="Q9" s="20"/>
    </row>
    <row r="10" spans="1:17"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1" spans="1:17">
      <c r="G11" s="20"/>
      <c r="H11" s="20"/>
      <c r="I11" s="20"/>
      <c r="J11" s="20"/>
      <c r="K11" s="20"/>
      <c r="L11" s="20"/>
      <c r="M11" s="20"/>
      <c r="N11" s="20"/>
      <c r="O11" s="20"/>
      <c r="P11" s="20"/>
    </row>
    <row r="12" spans="1:17" ht="15">
      <c r="A12" s="24" t="s">
        <v>106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</row>
    <row r="13" spans="1:17">
      <c r="A13" t="s">
        <v>50</v>
      </c>
      <c r="B13" s="4">
        <f>DCF!B9</f>
        <v>0.10885</v>
      </c>
      <c r="G13" s="20"/>
      <c r="H13" s="20"/>
      <c r="I13" s="20"/>
      <c r="J13" s="20"/>
      <c r="K13" s="20"/>
      <c r="L13" s="20"/>
      <c r="M13" s="20"/>
      <c r="N13" s="20"/>
      <c r="O13" s="20"/>
      <c r="P13" s="20"/>
    </row>
    <row r="14" spans="1:17">
      <c r="A14" t="s">
        <v>19</v>
      </c>
      <c r="B14" s="9">
        <f>DCF!B10</f>
        <v>0.04</v>
      </c>
    </row>
    <row r="15" spans="1:17">
      <c r="A15" t="s">
        <v>107</v>
      </c>
      <c r="B15" s="4">
        <f>Inputs!B7</f>
        <v>0.03</v>
      </c>
    </row>
    <row r="16" spans="1:17">
      <c r="A16" t="s">
        <v>108</v>
      </c>
      <c r="B16" s="4">
        <f>Inputs!F7</f>
        <v>0.06</v>
      </c>
    </row>
    <row r="17" spans="1:9">
      <c r="A17" t="s">
        <v>10</v>
      </c>
      <c r="B17" s="4">
        <f>Inputs!B8</f>
        <v>0.23499999999999999</v>
      </c>
    </row>
    <row r="18" spans="1:9">
      <c r="A18" t="s">
        <v>12</v>
      </c>
      <c r="B18" s="9">
        <f>Inputs!B10</f>
        <v>0.25</v>
      </c>
    </row>
    <row r="20" spans="1:9" ht="15.6">
      <c r="C20" s="34"/>
      <c r="I20" s="21"/>
    </row>
    <row r="21" spans="1:9">
      <c r="A21" s="23" t="s">
        <v>99</v>
      </c>
    </row>
    <row r="22" spans="1:9">
      <c r="A22" t="s">
        <v>109</v>
      </c>
      <c r="B22" s="27">
        <f>Comps!B12</f>
        <v>13.88775851822504</v>
      </c>
    </row>
    <row r="23" spans="1:9">
      <c r="A23" t="s">
        <v>80</v>
      </c>
      <c r="B23" s="27">
        <f>Comps!B15</f>
        <v>17.014405516836263</v>
      </c>
    </row>
    <row r="24" spans="1:9">
      <c r="A24" t="s">
        <v>110</v>
      </c>
      <c r="B24" s="4">
        <f>B22/B23-1</f>
        <v>-0.18376469254346339</v>
      </c>
    </row>
    <row r="25" spans="1:9">
      <c r="A25" t="s">
        <v>111</v>
      </c>
      <c r="B25" s="27">
        <f>Comps!B13</f>
        <v>9.3720379146919424</v>
      </c>
    </row>
    <row r="26" spans="1:9">
      <c r="A26" t="s">
        <v>81</v>
      </c>
      <c r="B26" s="27">
        <f>Comps!B16</f>
        <v>10.745917651386701</v>
      </c>
    </row>
    <row r="27" spans="1:9">
      <c r="A27" t="s">
        <v>112</v>
      </c>
      <c r="B27" s="4">
        <f>B25/B26-1</f>
        <v>-0.12785131817174011</v>
      </c>
    </row>
    <row r="30" spans="1:9" ht="15">
      <c r="A30" s="24" t="s">
        <v>113</v>
      </c>
    </row>
    <row r="31" spans="1:9">
      <c r="A31" t="s">
        <v>114</v>
      </c>
      <c r="B31" t="s">
        <v>50</v>
      </c>
      <c r="C31" t="s">
        <v>115</v>
      </c>
      <c r="D31" t="s">
        <v>116</v>
      </c>
      <c r="E31" t="s">
        <v>57</v>
      </c>
    </row>
    <row r="32" spans="1:9">
      <c r="A32" t="s">
        <v>117</v>
      </c>
      <c r="B32" s="4">
        <f>DCF!A40</f>
        <v>0.11885</v>
      </c>
      <c r="C32" s="4">
        <f>DCF!B37</f>
        <v>0.03</v>
      </c>
      <c r="D32" s="8">
        <f>DCF!B40</f>
        <v>957.49370512129997</v>
      </c>
      <c r="E32" s="4">
        <f>D32/$B$6-1</f>
        <v>-7.6224114692426514E-2</v>
      </c>
    </row>
    <row r="33" spans="1:5">
      <c r="A33" s="22" t="s">
        <v>118</v>
      </c>
      <c r="B33" s="35">
        <f>DCF!A39</f>
        <v>0.10885</v>
      </c>
      <c r="C33" s="35">
        <f>DCF!C37</f>
        <v>0.04</v>
      </c>
      <c r="D33" s="36">
        <f>DCF!C39</f>
        <v>1173.1027319034547</v>
      </c>
      <c r="E33" s="37">
        <f>D33/$B$6-1</f>
        <v>0.13179231249730305</v>
      </c>
    </row>
    <row r="34" spans="1:5">
      <c r="A34" t="s">
        <v>119</v>
      </c>
      <c r="B34" s="4">
        <f>DCF!A38</f>
        <v>9.8850000000000007E-2</v>
      </c>
      <c r="C34" s="4">
        <f>DCF!D37</f>
        <v>0.05</v>
      </c>
      <c r="D34" s="8">
        <f>DCF!D38</f>
        <v>1563.2345747591371</v>
      </c>
      <c r="E34" s="9">
        <f>D34/$B$6-1</f>
        <v>0.50818579330355718</v>
      </c>
    </row>
    <row r="38" spans="1:5">
      <c r="B38" s="57"/>
    </row>
    <row r="39" spans="1:5">
      <c r="B39" s="57"/>
    </row>
    <row r="40" spans="1:5">
      <c r="B40" s="57"/>
    </row>
    <row r="41" spans="1:5">
      <c r="B41" s="57"/>
    </row>
    <row r="42" spans="1:5">
      <c r="B42" s="57"/>
    </row>
    <row r="43" spans="1:5">
      <c r="B43" s="57"/>
    </row>
    <row r="44" spans="1:5">
      <c r="B44" s="57"/>
    </row>
    <row r="45" spans="1:5">
      <c r="B45" s="57"/>
    </row>
    <row r="46" spans="1:5">
      <c r="B46" s="57"/>
    </row>
    <row r="47" spans="1:5">
      <c r="B47" s="57"/>
    </row>
  </sheetData>
  <mergeCells count="1">
    <mergeCell ref="A1:Q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1"/>
  <sheetViews>
    <sheetView tabSelected="1" topLeftCell="A2" workbookViewId="0">
      <selection activeCell="D16" sqref="D16"/>
    </sheetView>
  </sheetViews>
  <sheetFormatPr defaultRowHeight="14.4"/>
  <cols>
    <col min="1" max="1" width="28" customWidth="1"/>
    <col min="2" max="2" width="11.6640625" customWidth="1"/>
    <col min="3" max="3" width="19.109375" bestFit="1" customWidth="1"/>
    <col min="4" max="4" width="20.109375" bestFit="1" customWidth="1"/>
    <col min="5" max="5" width="19.109375" bestFit="1" customWidth="1"/>
    <col min="6" max="6" width="17.6640625" bestFit="1" customWidth="1"/>
    <col min="7" max="7" width="15.88671875" customWidth="1"/>
    <col min="8" max="8" width="22.109375" customWidth="1"/>
    <col min="9" max="9" width="17.6640625" customWidth="1"/>
  </cols>
  <sheetData>
    <row r="1" spans="1:22" ht="18">
      <c r="A1" s="68" t="s">
        <v>120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52"/>
      <c r="N1" s="52"/>
      <c r="O1" s="52"/>
      <c r="P1" s="52"/>
      <c r="Q1" s="52"/>
      <c r="R1" s="52"/>
      <c r="S1" s="52"/>
      <c r="T1" s="52"/>
      <c r="U1" s="52"/>
      <c r="V1" s="43"/>
    </row>
    <row r="2" spans="1:22">
      <c r="A2" s="45" t="s">
        <v>65</v>
      </c>
      <c r="B2" s="49"/>
      <c r="C2" s="18"/>
      <c r="D2" s="18"/>
      <c r="M2" s="43"/>
      <c r="N2" s="43"/>
      <c r="O2" s="43"/>
      <c r="P2" s="43"/>
      <c r="Q2" s="43"/>
      <c r="R2" s="43"/>
      <c r="S2" s="43"/>
      <c r="T2" s="43"/>
      <c r="U2" s="43"/>
      <c r="V2" s="43"/>
    </row>
    <row r="3" spans="1:22">
      <c r="A3" s="45" t="s">
        <v>121</v>
      </c>
      <c r="B3" s="45"/>
      <c r="C3" s="45"/>
      <c r="D3" s="45"/>
      <c r="E3" s="49"/>
    </row>
    <row r="5" spans="1:22" ht="15.6">
      <c r="A5" s="24" t="s">
        <v>94</v>
      </c>
      <c r="C5" s="24" t="s">
        <v>57</v>
      </c>
      <c r="E5" s="70" t="s">
        <v>169</v>
      </c>
      <c r="F5" s="70"/>
    </row>
    <row r="6" spans="1:22">
      <c r="A6" s="78" t="s">
        <v>20</v>
      </c>
      <c r="B6" s="79">
        <f>Inputs!B18</f>
        <v>1036.5</v>
      </c>
      <c r="C6" s="80">
        <f>0</f>
        <v>0</v>
      </c>
      <c r="D6" s="14"/>
      <c r="E6" s="75" t="s">
        <v>114</v>
      </c>
      <c r="F6" s="75" t="s">
        <v>50</v>
      </c>
      <c r="G6" s="76" t="s">
        <v>115</v>
      </c>
      <c r="H6" s="77" t="s">
        <v>116</v>
      </c>
      <c r="I6" s="77" t="s">
        <v>57</v>
      </c>
      <c r="J6" s="14"/>
      <c r="K6" s="14"/>
    </row>
    <row r="7" spans="1:22">
      <c r="A7" s="78" t="s">
        <v>98</v>
      </c>
      <c r="B7" s="81">
        <f>DCF!B18</f>
        <v>1173.1027319034547</v>
      </c>
      <c r="C7" s="82">
        <f>B7/B6-1</f>
        <v>0.13179231249730305</v>
      </c>
      <c r="E7" s="60" t="s">
        <v>117</v>
      </c>
      <c r="F7" s="61">
        <f>Output!B32</f>
        <v>0.11885</v>
      </c>
      <c r="G7" s="61">
        <f>Output!C32</f>
        <v>0.03</v>
      </c>
      <c r="H7" s="63">
        <f>Output!D32</f>
        <v>957.49370512129997</v>
      </c>
      <c r="I7" s="61">
        <f>Output!E32</f>
        <v>-7.6224114692426514E-2</v>
      </c>
    </row>
    <row r="8" spans="1:22">
      <c r="A8" s="78" t="s">
        <v>101</v>
      </c>
      <c r="B8" s="79">
        <f>Comps!E20</f>
        <v>1269.8544041543953</v>
      </c>
      <c r="C8" s="80">
        <f>B8/B6-1</f>
        <v>0.22513690704717337</v>
      </c>
      <c r="E8" s="64" t="s">
        <v>118</v>
      </c>
      <c r="F8" s="65">
        <f>Output!B33</f>
        <v>0.10885</v>
      </c>
      <c r="G8" s="65">
        <f>Output!C33</f>
        <v>0.04</v>
      </c>
      <c r="H8" s="66">
        <f>Output!D33</f>
        <v>1173.1027319034547</v>
      </c>
      <c r="I8" s="67">
        <f>Output!E33</f>
        <v>0.13179231249730305</v>
      </c>
    </row>
    <row r="9" spans="1:22">
      <c r="A9" s="78" t="s">
        <v>103</v>
      </c>
      <c r="B9" s="79">
        <f>Comps!B29</f>
        <v>1234.7530977709428</v>
      </c>
      <c r="C9" s="80">
        <f>B9/B6-1</f>
        <v>0.19127168139984829</v>
      </c>
      <c r="E9" s="60" t="s">
        <v>119</v>
      </c>
      <c r="F9" s="61">
        <f>Output!B34</f>
        <v>9.8850000000000007E-2</v>
      </c>
      <c r="G9" s="61">
        <f>Output!C34</f>
        <v>0.05</v>
      </c>
      <c r="H9" s="63">
        <f>Output!D34</f>
        <v>1563.2345747591371</v>
      </c>
      <c r="I9" s="62">
        <f>Output!E34</f>
        <v>0.50818579330355718</v>
      </c>
    </row>
    <row r="10" spans="1:22">
      <c r="B10" s="7"/>
    </row>
    <row r="11" spans="1:22">
      <c r="B11" s="7"/>
    </row>
    <row r="12" spans="1:22">
      <c r="B12" s="7"/>
    </row>
    <row r="27" spans="1:14" ht="15">
      <c r="A27" s="74" t="s">
        <v>95</v>
      </c>
      <c r="B27" s="73"/>
    </row>
    <row r="28" spans="1:14">
      <c r="A28" s="83" t="str">
        <f>Output!G6</f>
        <v>Valuation View</v>
      </c>
      <c r="B28" s="84" t="str">
        <f>Output!H6</f>
        <v>Base-case DCF indicates moderate upside, with an intrinsic value of approximately ₹1,173/share versus the current price of ₹1,036.50.</v>
      </c>
      <c r="C28" s="84"/>
      <c r="D28" s="84"/>
      <c r="E28" s="84"/>
      <c r="F28" s="84"/>
      <c r="G28" s="84"/>
      <c r="H28" s="84"/>
      <c r="I28" s="20"/>
      <c r="J28" s="20"/>
      <c r="K28" s="20"/>
      <c r="L28" s="20"/>
      <c r="M28" s="20"/>
      <c r="N28" s="20"/>
    </row>
    <row r="29" spans="1:14">
      <c r="A29" s="83" t="str">
        <f>Output!G7</f>
        <v>Relative Valuation</v>
      </c>
      <c r="B29" s="84" t="str">
        <f>Output!H7</f>
        <v>Infosys trades at a discount to peers on both P/E and EV/EBITDA, with the discount more pronounced on P/E.</v>
      </c>
      <c r="C29" s="84"/>
      <c r="D29" s="84"/>
      <c r="E29" s="84"/>
      <c r="F29" s="84"/>
      <c r="G29" s="84"/>
      <c r="H29" s="84"/>
    </row>
    <row r="30" spans="1:14">
      <c r="A30" s="83" t="str">
        <f>Output!G8</f>
        <v>Key Sensitivity</v>
      </c>
      <c r="B30" s="84" t="str">
        <f>Output!H8</f>
        <v>DCF valuation is highly sensitive to WACC and terminal growth, with the tested range spanning approximately ₹957–₹1,563/share.</v>
      </c>
      <c r="C30" s="84"/>
      <c r="D30" s="84"/>
      <c r="E30" s="84"/>
      <c r="F30" s="84"/>
      <c r="G30" s="84"/>
      <c r="H30" s="84"/>
      <c r="I30" s="20"/>
      <c r="J30" s="20"/>
      <c r="K30" s="20"/>
    </row>
    <row r="31" spans="1:14">
      <c r="A31" s="83" t="str">
        <f>Output!G9</f>
        <v>Key Risk</v>
      </c>
      <c r="B31" s="84" t="str">
        <f>Output!H9</f>
        <v>The valuation depends on assumptions around revenue growth, operating margins, capital expenditure, working capital investment and long-term growth.</v>
      </c>
      <c r="C31" s="84"/>
      <c r="D31" s="84"/>
      <c r="E31" s="84"/>
      <c r="F31" s="84"/>
      <c r="G31" s="84"/>
      <c r="H31" s="84"/>
      <c r="I31" s="20"/>
      <c r="J31" s="20"/>
      <c r="K31" s="20"/>
    </row>
  </sheetData>
  <mergeCells count="2">
    <mergeCell ref="E5:F5"/>
    <mergeCell ref="A1:L1"/>
  </mergeCells>
  <printOptions horizontalCentered="1"/>
  <pageMargins left="0.3" right="0.3" top="0.3" bottom="0.3" header="0.3" footer="0.3"/>
  <pageSetup paperSize="8" fitToWidth="0" orientation="landscape" horizontalDpi="4294967293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L15" sqref="L15"/>
    </sheetView>
  </sheetViews>
  <sheetFormatPr defaultRowHeight="14.4"/>
  <cols>
    <col min="1" max="1" width="24.33203125" bestFit="1" customWidth="1"/>
    <col min="2" max="2" width="36.109375" bestFit="1" customWidth="1"/>
    <col min="3" max="3" width="16.109375" bestFit="1" customWidth="1"/>
    <col min="4" max="4" width="42" bestFit="1" customWidth="1"/>
  </cols>
  <sheetData>
    <row r="1" spans="1:8" ht="18">
      <c r="A1" s="68" t="s">
        <v>122</v>
      </c>
      <c r="B1" s="68"/>
      <c r="C1" s="68"/>
      <c r="D1" s="68"/>
      <c r="E1" s="68"/>
      <c r="F1" s="68"/>
      <c r="G1" s="68"/>
      <c r="H1" s="68"/>
    </row>
    <row r="2" spans="1:8">
      <c r="A2" s="69" t="s">
        <v>1</v>
      </c>
      <c r="B2" s="69"/>
      <c r="C2" s="49"/>
      <c r="D2" s="49"/>
      <c r="E2" s="43"/>
    </row>
    <row r="3" spans="1:8">
      <c r="A3" s="59"/>
      <c r="B3" s="59"/>
      <c r="C3" s="43"/>
      <c r="D3" s="43"/>
      <c r="E3" s="43"/>
    </row>
    <row r="4" spans="1:8" ht="15.6">
      <c r="A4" s="58" t="s">
        <v>123</v>
      </c>
      <c r="B4" s="58" t="s">
        <v>124</v>
      </c>
      <c r="C4" s="58" t="s">
        <v>125</v>
      </c>
      <c r="D4" s="58" t="s">
        <v>126</v>
      </c>
    </row>
    <row r="5" spans="1:8">
      <c r="A5" s="59" t="s">
        <v>127</v>
      </c>
      <c r="B5" s="59" t="s">
        <v>128</v>
      </c>
      <c r="C5" s="59" t="s">
        <v>29</v>
      </c>
      <c r="D5" s="59" t="s">
        <v>129</v>
      </c>
    </row>
    <row r="6" spans="1:8">
      <c r="A6" s="59" t="s">
        <v>130</v>
      </c>
      <c r="B6" s="59" t="s">
        <v>128</v>
      </c>
      <c r="C6" s="59" t="s">
        <v>131</v>
      </c>
      <c r="D6" s="59" t="s">
        <v>132</v>
      </c>
    </row>
    <row r="7" spans="1:8">
      <c r="A7" s="59" t="s">
        <v>133</v>
      </c>
      <c r="B7" s="59" t="s">
        <v>134</v>
      </c>
      <c r="C7" s="55">
        <v>46275</v>
      </c>
      <c r="D7" s="59" t="s">
        <v>135</v>
      </c>
    </row>
    <row r="8" spans="1:8">
      <c r="A8" s="59" t="s">
        <v>136</v>
      </c>
      <c r="B8" s="59" t="s">
        <v>137</v>
      </c>
      <c r="C8" s="55">
        <v>46275</v>
      </c>
      <c r="D8" s="59" t="s">
        <v>138</v>
      </c>
    </row>
    <row r="9" spans="1:8">
      <c r="A9" s="59" t="s">
        <v>139</v>
      </c>
      <c r="B9" s="59" t="s">
        <v>140</v>
      </c>
      <c r="C9" s="59" t="s">
        <v>141</v>
      </c>
      <c r="D9" s="59" t="s">
        <v>142</v>
      </c>
    </row>
    <row r="10" spans="1:8">
      <c r="A10" s="59" t="s">
        <v>143</v>
      </c>
      <c r="B10" s="59" t="s">
        <v>144</v>
      </c>
      <c r="C10" s="55">
        <v>46275</v>
      </c>
      <c r="D10" s="59" t="s">
        <v>145</v>
      </c>
    </row>
    <row r="11" spans="1:8">
      <c r="A11" s="59" t="s">
        <v>146</v>
      </c>
      <c r="B11" s="59" t="s">
        <v>147</v>
      </c>
      <c r="C11" s="59" t="s">
        <v>148</v>
      </c>
      <c r="D11" s="59" t="s">
        <v>149</v>
      </c>
    </row>
    <row r="14" spans="1:8" ht="17.25" customHeight="1">
      <c r="A14" s="72" t="s">
        <v>150</v>
      </c>
      <c r="B14" s="72"/>
    </row>
    <row r="16" spans="1:8" ht="15.6">
      <c r="A16" s="56" t="s">
        <v>123</v>
      </c>
      <c r="B16" s="70" t="s">
        <v>151</v>
      </c>
      <c r="C16" s="70"/>
      <c r="D16" s="70"/>
      <c r="E16" s="70"/>
      <c r="F16" s="70"/>
      <c r="G16" s="70"/>
      <c r="H16" s="70"/>
    </row>
    <row r="17" spans="1:8">
      <c r="A17" t="s">
        <v>152</v>
      </c>
      <c r="B17" s="71" t="s">
        <v>153</v>
      </c>
      <c r="C17" s="71"/>
      <c r="D17" s="71"/>
      <c r="E17" s="71"/>
      <c r="F17" s="71"/>
      <c r="G17" s="71"/>
      <c r="H17" s="71"/>
    </row>
    <row r="18" spans="1:8">
      <c r="A18" t="s">
        <v>154</v>
      </c>
      <c r="B18" s="71" t="s">
        <v>155</v>
      </c>
      <c r="C18" s="71"/>
      <c r="D18" s="71"/>
      <c r="E18" s="71"/>
      <c r="F18" s="71"/>
      <c r="G18" s="71"/>
      <c r="H18" s="71"/>
    </row>
    <row r="19" spans="1:8">
      <c r="A19" t="s">
        <v>115</v>
      </c>
      <c r="B19" s="71" t="s">
        <v>156</v>
      </c>
      <c r="C19" s="71"/>
      <c r="D19" s="71"/>
      <c r="E19" s="71"/>
      <c r="F19" s="71"/>
      <c r="G19" s="71"/>
      <c r="H19" s="71"/>
    </row>
    <row r="20" spans="1:8">
      <c r="A20" t="s">
        <v>50</v>
      </c>
      <c r="B20" s="71" t="s">
        <v>157</v>
      </c>
      <c r="C20" s="71"/>
      <c r="D20" s="71"/>
      <c r="E20" s="71"/>
      <c r="F20" s="71"/>
      <c r="G20" s="71"/>
      <c r="H20" s="71"/>
    </row>
    <row r="21" spans="1:8">
      <c r="A21" t="s">
        <v>158</v>
      </c>
      <c r="B21" s="71" t="s">
        <v>159</v>
      </c>
      <c r="C21" s="71"/>
      <c r="D21" s="71"/>
      <c r="E21" s="71"/>
      <c r="F21" s="71"/>
      <c r="G21" s="71"/>
      <c r="H21" s="71"/>
    </row>
    <row r="22" spans="1:8">
      <c r="A22" t="s">
        <v>78</v>
      </c>
      <c r="B22" s="71" t="s">
        <v>160</v>
      </c>
      <c r="C22" s="71"/>
      <c r="D22" s="71"/>
      <c r="E22" s="71"/>
      <c r="F22" s="71"/>
      <c r="G22" s="71"/>
      <c r="H22" s="71"/>
    </row>
    <row r="23" spans="1:8">
      <c r="A23" t="s">
        <v>79</v>
      </c>
      <c r="B23" s="71" t="s">
        <v>161</v>
      </c>
      <c r="C23" s="71"/>
      <c r="D23" s="71"/>
      <c r="E23" s="71"/>
      <c r="F23" s="71"/>
      <c r="G23" s="71"/>
      <c r="H23" s="71"/>
    </row>
    <row r="24" spans="1:8">
      <c r="A24" t="s">
        <v>162</v>
      </c>
      <c r="B24" s="71" t="s">
        <v>163</v>
      </c>
      <c r="C24" s="71"/>
      <c r="D24" s="71"/>
      <c r="E24" s="71"/>
      <c r="F24" s="71"/>
      <c r="G24" s="71"/>
      <c r="H24" s="71"/>
    </row>
    <row r="25" spans="1:8">
      <c r="A25" t="s">
        <v>164</v>
      </c>
      <c r="B25" s="71" t="s">
        <v>165</v>
      </c>
      <c r="C25" s="71"/>
      <c r="D25" s="71"/>
      <c r="E25" s="71"/>
      <c r="F25" s="71"/>
      <c r="G25" s="71"/>
      <c r="H25" s="71"/>
    </row>
  </sheetData>
  <mergeCells count="13">
    <mergeCell ref="A2:B2"/>
    <mergeCell ref="B21:H21"/>
    <mergeCell ref="B22:H22"/>
    <mergeCell ref="B23:H23"/>
    <mergeCell ref="A1:H1"/>
    <mergeCell ref="B24:H24"/>
    <mergeCell ref="B25:H25"/>
    <mergeCell ref="B16:H16"/>
    <mergeCell ref="A14:B14"/>
    <mergeCell ref="B17:H17"/>
    <mergeCell ref="B19:H19"/>
    <mergeCell ref="B20:H20"/>
    <mergeCell ref="B18:H1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selection activeCell="A2" sqref="A2"/>
    </sheetView>
  </sheetViews>
  <sheetFormatPr defaultRowHeight="14.4"/>
  <cols>
    <col min="2" max="2" width="17.6640625" bestFit="1" customWidth="1"/>
  </cols>
  <sheetData>
    <row r="1" spans="1:3">
      <c r="A1" s="22"/>
      <c r="B1" s="22"/>
      <c r="C1" s="22"/>
    </row>
    <row r="2" spans="1:3">
      <c r="A2" t="s">
        <v>166</v>
      </c>
      <c r="B2" t="s">
        <v>167</v>
      </c>
      <c r="C2" t="s">
        <v>168</v>
      </c>
    </row>
    <row r="3" spans="1:3">
      <c r="A3" t="s">
        <v>25</v>
      </c>
      <c r="B3" s="3">
        <f>Historicals!B5</f>
        <v>121641</v>
      </c>
    </row>
    <row r="4" spans="1:3">
      <c r="A4" t="s">
        <v>26</v>
      </c>
      <c r="B4" s="3">
        <f>Historicals!C5</f>
        <v>146767</v>
      </c>
    </row>
    <row r="5" spans="1:3">
      <c r="A5" t="s">
        <v>27</v>
      </c>
      <c r="B5" s="3">
        <f>Historicals!D5</f>
        <v>153670</v>
      </c>
    </row>
    <row r="6" spans="1:3">
      <c r="A6" t="s">
        <v>28</v>
      </c>
      <c r="B6" s="3">
        <f>Historicals!E5</f>
        <v>162990</v>
      </c>
    </row>
    <row r="7" spans="1:3">
      <c r="A7" t="s">
        <v>29</v>
      </c>
      <c r="B7" s="3">
        <f>Historicals!F5</f>
        <v>178650</v>
      </c>
      <c r="C7" s="3">
        <f>Historicals!F5</f>
        <v>178650</v>
      </c>
    </row>
    <row r="8" spans="1:3">
      <c r="A8" t="s">
        <v>4</v>
      </c>
      <c r="C8">
        <f>Forecast!B6</f>
        <v>184009.5</v>
      </c>
    </row>
    <row r="9" spans="1:3">
      <c r="A9" t="s">
        <v>5</v>
      </c>
      <c r="C9">
        <f>Forecast!C6</f>
        <v>193209.97500000001</v>
      </c>
    </row>
    <row r="10" spans="1:3">
      <c r="A10" t="s">
        <v>6</v>
      </c>
      <c r="C10">
        <f>Forecast!D6</f>
        <v>204802.57350000003</v>
      </c>
    </row>
    <row r="11" spans="1:3">
      <c r="A11" t="s">
        <v>7</v>
      </c>
      <c r="C11">
        <f>Forecast!E6</f>
        <v>217090.72791000005</v>
      </c>
    </row>
    <row r="12" spans="1:3">
      <c r="A12" t="s">
        <v>8</v>
      </c>
      <c r="C12">
        <f>Forecast!F6</f>
        <v>230116.17158460006</v>
      </c>
    </row>
    <row r="20" spans="1:2">
      <c r="A20" t="s">
        <v>166</v>
      </c>
      <c r="B20" t="s">
        <v>45</v>
      </c>
    </row>
    <row r="21" spans="1:2">
      <c r="A21" t="s">
        <v>4</v>
      </c>
      <c r="B21" s="8">
        <f>Forecast!B16</f>
        <v>28176.454687499994</v>
      </c>
    </row>
    <row r="22" spans="1:2">
      <c r="A22" t="s">
        <v>5</v>
      </c>
      <c r="B22" s="8">
        <f>Forecast!C16</f>
        <v>29585.277421874998</v>
      </c>
    </row>
    <row r="23" spans="1:2">
      <c r="A23" t="s">
        <v>6</v>
      </c>
      <c r="B23" s="8">
        <f>Forecast!D16</f>
        <v>31360.394067187506</v>
      </c>
    </row>
    <row r="24" spans="1:2">
      <c r="A24" t="s">
        <v>7</v>
      </c>
      <c r="B24" s="8">
        <f>Forecast!E16</f>
        <v>33242.017711218752</v>
      </c>
    </row>
    <row r="25" spans="1:2">
      <c r="A25" t="s">
        <v>8</v>
      </c>
      <c r="B25" s="8">
        <f>Forecast!F16</f>
        <v>35236.53877389188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Inputs</vt:lpstr>
      <vt:lpstr>Historicals</vt:lpstr>
      <vt:lpstr>Forecast</vt:lpstr>
      <vt:lpstr>DCF</vt:lpstr>
      <vt:lpstr>Comps</vt:lpstr>
      <vt:lpstr>Output</vt:lpstr>
      <vt:lpstr>Valuation_Summary</vt:lpstr>
      <vt:lpstr>Sources</vt:lpstr>
      <vt:lpstr>Chart_data</vt:lpstr>
      <vt:lpstr>Valuation_Summary!Print_Area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admin</cp:lastModifiedBy>
  <cp:revision/>
  <cp:lastPrinted>2026-09-14T19:51:41Z</cp:lastPrinted>
  <dcterms:created xsi:type="dcterms:W3CDTF">2026-08-08T18:51:48Z</dcterms:created>
  <dcterms:modified xsi:type="dcterms:W3CDTF">2026-09-14T20:01:10Z</dcterms:modified>
  <cp:category/>
  <cp:contentStatus/>
</cp:coreProperties>
</file>